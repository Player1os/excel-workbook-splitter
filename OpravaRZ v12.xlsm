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katarina.molcanyova\Documents\"/>
    </mc:Choice>
  </mc:AlternateContent>
  <bookViews>
    <workbookView xWindow="0" yWindow="0" windowWidth="20490" windowHeight="8385" firstSheet="79" activeTab="81"/>
  </bookViews>
  <sheets>
    <sheet name="DATA" sheetId="1" r:id="rId1"/>
    <sheet name="PIVOT" sheetId="5" r:id="rId2"/>
    <sheet name="ZOZNAM PSP" sheetId="3" r:id="rId3"/>
    <sheet name="EMPLOYEE_NAME" sheetId="6" r:id="rId4"/>
    <sheet name="EMAIL" sheetId="7" r:id="rId5"/>
    <sheet name="gergely.agocs@telekom.sk" sheetId="8" r:id="rId6"/>
    <sheet name="vaclav.bajgart@telekom.sk" sheetId="9" r:id="rId7"/>
    <sheet name="boris.balog@telekom.sk" sheetId="10" r:id="rId8"/>
    <sheet name="tomas.banes@telekom.sk" sheetId="11" r:id="rId9"/>
    <sheet name="martin.bartko@telekom.sk" sheetId="12" r:id="rId10"/>
    <sheet name="martin.beres@telekom.sk" sheetId="13" r:id="rId11"/>
    <sheet name="michal.bratko@telekom.sk" sheetId="14" r:id="rId12"/>
    <sheet name="branislav.burdej@telekom.sk" sheetId="15" r:id="rId13"/>
    <sheet name="peter1.cernak@telekom.sk" sheetId="16" r:id="rId14"/>
    <sheet name="martin.cervenan@telekom.sk" sheetId="17" r:id="rId15"/>
    <sheet name="alena.dianova@telekom.sk" sheetId="18" r:id="rId16"/>
    <sheet name="patrik.dobry@telekom.sk" sheetId="19" r:id="rId17"/>
    <sheet name="jan.domin@telekom.sk" sheetId="20" r:id="rId18"/>
    <sheet name="dominika.dubenova@telekom.sk" sheetId="21" r:id="rId19"/>
    <sheet name="martin.duda@telekom.sk" sheetId="22" r:id="rId20"/>
    <sheet name="emil.galanek@telekom.sk" sheetId="23" r:id="rId21"/>
    <sheet name="vladimir.galik@telekom.sk" sheetId="24" r:id="rId22"/>
    <sheet name="branislav.gec@telekom.sk" sheetId="25" r:id="rId23"/>
    <sheet name="michal.halada@telekom.sk" sheetId="26" r:id="rId24"/>
    <sheet name="marek.halaj@telekom.sk" sheetId="27" r:id="rId25"/>
    <sheet name="jana.havelkova@telekom.sk" sheetId="28" r:id="rId26"/>
    <sheet name="jaroslav.horvath@telekom.sk" sheetId="29" r:id="rId27"/>
    <sheet name="radoslav.horvath@telekom.sk" sheetId="30" r:id="rId28"/>
    <sheet name="ivana.hrebikova@telekom.sk" sheetId="31" r:id="rId29"/>
    <sheet name="zuzana.hudecova@telekom.sk" sheetId="32" r:id="rId30"/>
    <sheet name="robert.jahn@telekom.sk" sheetId="33" r:id="rId31"/>
    <sheet name="alica.kadurova@telekom.sk" sheetId="34" r:id="rId32"/>
    <sheet name="stanislava.kalakaj@telekom.sk" sheetId="35" r:id="rId33"/>
    <sheet name="Hárok30" sheetId="36" r:id="rId34"/>
    <sheet name="marian.kiko@telekom.sk" sheetId="37" r:id="rId35"/>
    <sheet name="roman.kling@telekom.sk" sheetId="38" r:id="rId36"/>
    <sheet name="vladimir.kohut@telekom.sk" sheetId="39" r:id="rId37"/>
    <sheet name="milos.kostal@telekom.sk" sheetId="40" r:id="rId38"/>
    <sheet name="iveta.krejciova@telekom.sk" sheetId="41" r:id="rId39"/>
    <sheet name="miroslava.krchnava@telekom.sk" sheetId="42" r:id="rId40"/>
    <sheet name="roman.krncan@telekom.sk" sheetId="43" r:id="rId41"/>
    <sheet name="eva.kubinova@telekom.sk" sheetId="44" r:id="rId42"/>
    <sheet name="stefan.kunak@telekom.sk" sheetId="45" r:id="rId43"/>
    <sheet name="lubomir.kupka@telekom.sk" sheetId="46" r:id="rId44"/>
    <sheet name="jozef.lenko@telekom.sk" sheetId="47" r:id="rId45"/>
    <sheet name="jozef.lobb@telekom.sk" sheetId="48" r:id="rId46"/>
    <sheet name="roman.lukacovic@telekom.sk" sheetId="49" r:id="rId47"/>
    <sheet name="martin.marcisovsky@telekom.sk" sheetId="50" r:id="rId48"/>
    <sheet name="lenka.mareckova@telekom.sk" sheetId="51" r:id="rId49"/>
    <sheet name="branislav.michalik@telekom.sk" sheetId="52" r:id="rId50"/>
    <sheet name="miroslav.miklas@telekom.sk" sheetId="53" r:id="rId51"/>
    <sheet name="simon.miklas@telekom.sk" sheetId="54" r:id="rId52"/>
    <sheet name="tomas.nemoga@telekom.sk" sheetId="55" r:id="rId53"/>
    <sheet name="lubomir.olejnik@telekom.sk" sheetId="56" r:id="rId54"/>
    <sheet name="stefan.opremcak@telekom.sk" sheetId="57" r:id="rId55"/>
    <sheet name="lubos.palenik@telekom.sk" sheetId="58" r:id="rId56"/>
    <sheet name="radovan.peller@telekom.sk" sheetId="59" r:id="rId57"/>
    <sheet name="michal.petricek@telekom.sk" sheetId="60" r:id="rId58"/>
    <sheet name="peter.polovka@telekom.sk" sheetId="61" r:id="rId59"/>
    <sheet name="milos.potocky@telekom.sk" sheetId="62" r:id="rId60"/>
    <sheet name="pavol.prager@telekom.sk" sheetId="63" r:id="rId61"/>
    <sheet name="renata.rabekova@telekom.sk" sheetId="64" r:id="rId62"/>
    <sheet name="barbora.rohonova@telekom.sk" sheetId="65" r:id="rId63"/>
    <sheet name="michal.schellberger@telekom.sk" sheetId="66" r:id="rId64"/>
    <sheet name="ondrej.schvarcz@telekom.sk" sheetId="67" r:id="rId65"/>
    <sheet name="peter.solar@telekom.sk" sheetId="68" r:id="rId66"/>
    <sheet name="tibor.saly@telekom.sk" sheetId="69" r:id="rId67"/>
    <sheet name="miroslav.scepka@telekom.sk" sheetId="70" r:id="rId68"/>
    <sheet name="anna.simkova@telekom.sk" sheetId="71" r:id="rId69"/>
    <sheet name="lubomir.simoncic@telekom.sk" sheetId="72" r:id="rId70"/>
    <sheet name="monika.simonova@telekom.sk" sheetId="73" r:id="rId71"/>
    <sheet name="erika.skrovinova@telekom.sk" sheetId="74" r:id="rId72"/>
    <sheet name="jan.stroffek@telekom.sk" sheetId="75" r:id="rId73"/>
    <sheet name="stanislav.subert@telekom.sk" sheetId="76" r:id="rId74"/>
    <sheet name="gabriel.vanek@telekom.sk" sheetId="77" r:id="rId75"/>
    <sheet name="maria.vavrikova@telekom.sk" sheetId="78" r:id="rId76"/>
    <sheet name="ludek.vrtik@telekom.sk" sheetId="79" r:id="rId77"/>
    <sheet name="ingrid.zaborska@telekom.sk" sheetId="80" r:id="rId78"/>
    <sheet name="michal.zahoran@telekom.sk" sheetId="81" r:id="rId79"/>
    <sheet name="slavomir.zakarovsky@telekom.sk" sheetId="82" r:id="rId80"/>
    <sheet name="marek.zani@telekom.sk" sheetId="83" r:id="rId81"/>
    <sheet name="rastislav.zverbik@telekom.sk" sheetId="84" r:id="rId82"/>
  </sheets>
  <definedNames>
    <definedName name="_xlnm._FilterDatabase" localSheetId="0" hidden="1">DATA!$A$1:$C$288</definedName>
    <definedName name="_xlcn.WorksheetConnection_dodatokkRZA2H5041" hidden="1">DATA!$A$2:$I$288</definedName>
  </definedNames>
  <calcPr calcId="152511"/>
  <pivotCaches>
    <pivotCache cacheId="45" r:id="rId83"/>
    <pivotCache cacheId="46" r:id="rId84"/>
    <pivotCache cacheId="47" r:id="rId8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ozsah-644ae02a-6619-431f-a280-9e3e48610b1e" name="Rozsah" connection="WorksheetConnection_dodatok k RZ!$A$2:$H$504"/>
        </x15:modelTables>
      </x15:dataModel>
    </ext>
  </extLst>
</workbook>
</file>

<file path=xl/calcChain.xml><?xml version="1.0" encoding="utf-8"?>
<calcChain xmlns="http://schemas.openxmlformats.org/spreadsheetml/2006/main">
  <c r="D7" i="5" l="1"/>
  <c r="K262" i="1" l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K283" i="1" l="1"/>
  <c r="K282" i="1"/>
  <c r="K281" i="1"/>
  <c r="K275" i="1"/>
  <c r="K274" i="1"/>
  <c r="K287" i="1"/>
  <c r="K286" i="1"/>
  <c r="K267" i="1"/>
  <c r="K271" i="1"/>
  <c r="K270" i="1"/>
  <c r="C4" i="5"/>
  <c r="K264" i="1" l="1"/>
  <c r="K284" i="1"/>
  <c r="K285" i="1"/>
  <c r="K276" i="1"/>
  <c r="K278" i="1"/>
  <c r="K268" i="1"/>
  <c r="K269" i="1"/>
  <c r="K265" i="1"/>
  <c r="K266" i="1"/>
  <c r="K263" i="1"/>
  <c r="K272" i="1"/>
  <c r="K273" i="1"/>
  <c r="K288" i="1"/>
  <c r="K277" i="1"/>
  <c r="K279" i="1"/>
  <c r="K280" i="1"/>
</calcChain>
</file>

<file path=xl/connections.xml><?xml version="1.0" encoding="utf-8"?>
<connections xmlns="http://schemas.openxmlformats.org/spreadsheetml/2006/main">
  <connection id="1" keepAlive="1" name="ThisWorkbookDataModel" description="Dátový model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dodatok k RZ!$A$2:$H$504" type="102" refreshedVersion="5" minRefreshableVersion="5">
    <extLst>
      <ext xmlns:x15="http://schemas.microsoft.com/office/spreadsheetml/2010/11/main" uri="{DE250136-89BD-433C-8126-D09CA5730AF9}">
        <x15:connection id="Rozsah-644ae02a-6619-431f-a280-9e3e48610b1e" autoDelete="1">
          <x15:rangePr sourceName="_xlcn.WorksheetConnection_dodatokkRZA2H504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Rozsah].[DODATOK/NOVA RZ].&amp;[NOVA RZ]}"/>
  </metadataStrings>
  <mdxMetadata count="1">
    <mdx n="0" f="s">
      <ms ns="1" c="0"/>
    </mdx>
  </mdxMetadata>
  <valueMetadata count="1">
    <bk>
      <rc t="1" v="0"/>
    </bk>
  </valueMetadata>
</metadata>
</file>

<file path=xl/sharedStrings.xml><?xml version="1.0" encoding="utf-8"?>
<sst xmlns="http://schemas.openxmlformats.org/spreadsheetml/2006/main" count="4999" uniqueCount="1507">
  <si>
    <t>FRAME_CONTRACT_ID</t>
  </si>
  <si>
    <t>TITLE</t>
  </si>
  <si>
    <t>START_DATE_KEY</t>
  </si>
  <si>
    <t>END_DATE_KEY</t>
  </si>
  <si>
    <t>CONTRACT_DURATION</t>
  </si>
  <si>
    <t>FC-150710-25248</t>
  </si>
  <si>
    <t>Amendment to FC Confal a.s.</t>
  </si>
  <si>
    <t>11.07.2015</t>
  </si>
  <si>
    <t>FC-151112-25775</t>
  </si>
  <si>
    <t>Amendment to FC NOVESTA, a.s.</t>
  </si>
  <si>
    <t>01.11.2015</t>
  </si>
  <si>
    <t>FC-170406-27414</t>
  </si>
  <si>
    <t>Amendment to FC CEMMAC a.s. - MM</t>
  </si>
  <si>
    <t>01.04.2017</t>
  </si>
  <si>
    <t>FC-150107-24368</t>
  </si>
  <si>
    <t>Amendment to FC DEMA Senica, a.s.</t>
  </si>
  <si>
    <t>01.01.2015</t>
  </si>
  <si>
    <t>FC-150811-25401</t>
  </si>
  <si>
    <t>Amendment to FC HOREZZA, a.s.</t>
  </si>
  <si>
    <t>01.08.2015</t>
  </si>
  <si>
    <t>FC-080811-1682</t>
  </si>
  <si>
    <t>Amendment to FC MADE BY VACULIK, s. r. o.</t>
  </si>
  <si>
    <t>11.02.2002</t>
  </si>
  <si>
    <t>FC-140603-23060</t>
  </si>
  <si>
    <t>Amendment to FC Očná optika a.s.</t>
  </si>
  <si>
    <t>01.06.2014</t>
  </si>
  <si>
    <t>FC-100713-6369</t>
  </si>
  <si>
    <t>Amendment to FC SONET Slovakia, s.r.o.</t>
  </si>
  <si>
    <t>12.07.2010</t>
  </si>
  <si>
    <t>FC-111222-12523</t>
  </si>
  <si>
    <t>Amendment to FC ŠKODA AUTO Slovensko s.r.o.</t>
  </si>
  <si>
    <t>23.12.2011</t>
  </si>
  <si>
    <t>FC-130813-20371</t>
  </si>
  <si>
    <t>Amendment to FC Odbytové družstvo sever, družstvo</t>
  </si>
  <si>
    <t>27.08.2013</t>
  </si>
  <si>
    <t>FC-121216-17403</t>
  </si>
  <si>
    <t xml:space="preserve">Amendment to FC IMBIZ, s.r.o. </t>
  </si>
  <si>
    <t>18.12.2012</t>
  </si>
  <si>
    <t>FC-141006-23798</t>
  </si>
  <si>
    <t>Amendment to:FC-130207-18212-Synot W, a.s.</t>
  </si>
  <si>
    <t>07.10.2014</t>
  </si>
  <si>
    <t>FC-101206-8718</t>
  </si>
  <si>
    <t>Amendment to FC Alcatel-Lucent Slovakia a.s.</t>
  </si>
  <si>
    <t>07.12.2010</t>
  </si>
  <si>
    <t>FC-140131-21916</t>
  </si>
  <si>
    <t>Amendment to FC Pernod Ricard Slovakia s.r.o.</t>
  </si>
  <si>
    <t>01.05.2014</t>
  </si>
  <si>
    <t>FC-090302-3344</t>
  </si>
  <si>
    <t>Amendment to FC ITALMARKET SLOVAKIA, a.s.</t>
  </si>
  <si>
    <t>16.03.2009</t>
  </si>
  <si>
    <t>FC-140404-22525</t>
  </si>
  <si>
    <t>Amendment to FC Vysoká škola zdravotníctva a sociálnej práce Sv. A</t>
  </si>
  <si>
    <t>01.04.2014</t>
  </si>
  <si>
    <t>FC-120926-15572</t>
  </si>
  <si>
    <t>Amendment to FC ARIDUS Technologies, s.r.o.</t>
  </si>
  <si>
    <t>01.09.2012</t>
  </si>
  <si>
    <t>FC-130205-18209</t>
  </si>
  <si>
    <t>Amendment to FC LIMOUSINE SERVICE, s.r.o.</t>
  </si>
  <si>
    <t>01.02.2013</t>
  </si>
  <si>
    <t>FC-130322-18800</t>
  </si>
  <si>
    <t>Amendment to FC YIT Reding a.s.</t>
  </si>
  <si>
    <t>01.03.2013</t>
  </si>
  <si>
    <t>FC-140213-22014</t>
  </si>
  <si>
    <t>Amendment to FC DIEBOLD NIXDORF s.r.o.</t>
  </si>
  <si>
    <t>14.02.2014</t>
  </si>
  <si>
    <t>FC-161208-27170</t>
  </si>
  <si>
    <t>Amendment to FC Viktis s.r.o.</t>
  </si>
  <si>
    <t>01.12.2016</t>
  </si>
  <si>
    <t>FC-121219-17404</t>
  </si>
  <si>
    <t xml:space="preserve">Amendment to FC B.T.Transport s.r.o. </t>
  </si>
  <si>
    <t>01.11.2012</t>
  </si>
  <si>
    <t>FC-131217-21678</t>
  </si>
  <si>
    <t xml:space="preserve">Amendment to FC InsData spol. s.r.o. </t>
  </si>
  <si>
    <t>11.12.2013</t>
  </si>
  <si>
    <t>FC-091228-4374</t>
  </si>
  <si>
    <t>Amendment to FC STEEL TRANS s.r.o.</t>
  </si>
  <si>
    <t>01.12.2009</t>
  </si>
  <si>
    <t>FC-130724-20257</t>
  </si>
  <si>
    <t>Amendment to FC TESCO STORES SR, a.s.</t>
  </si>
  <si>
    <t>01.07.2013</t>
  </si>
  <si>
    <t>FC-130314-18653</t>
  </si>
  <si>
    <t>Amendment to FC Zoznam, s.r.o.</t>
  </si>
  <si>
    <t>15.03.2013</t>
  </si>
  <si>
    <t>FC-120329-13338</t>
  </si>
  <si>
    <t>Amendment to FC STABILITA, d.d.s., a.s.</t>
  </si>
  <si>
    <t>01.04.2012</t>
  </si>
  <si>
    <t>FC-130812-20370</t>
  </si>
  <si>
    <t xml:space="preserve">Amendment to FC CROWN Bevcan Slovakia s.r.o. </t>
  </si>
  <si>
    <t>01.05.2013</t>
  </si>
  <si>
    <t>FC-160815-26930</t>
  </si>
  <si>
    <t>Amendment to FC ITT Nitra s.r.o.</t>
  </si>
  <si>
    <t>01.08.2016</t>
  </si>
  <si>
    <t>FC-080916-2062</t>
  </si>
  <si>
    <t>Amendment to FC First Data Slovakia, s.r.o.</t>
  </si>
  <si>
    <t>01.11.2007</t>
  </si>
  <si>
    <t>FC-170314-27376</t>
  </si>
  <si>
    <t xml:space="preserve">Amendment to FC UniCredit Bank Czech Republic and Slovakia, a.s., </t>
  </si>
  <si>
    <t>01.03.2017</t>
  </si>
  <si>
    <t>FC-090925-3823</t>
  </si>
  <si>
    <t>Amendment to FC KÁVOMATY, s.r.o.</t>
  </si>
  <si>
    <t>16.11.2009</t>
  </si>
  <si>
    <t>FC-111005-11587</t>
  </si>
  <si>
    <t>Amendment to FC EJOT SLOVAKIA, s.r.o.</t>
  </si>
  <si>
    <t>05.10.2011</t>
  </si>
  <si>
    <t>FC-130222-18418</t>
  </si>
  <si>
    <t xml:space="preserve">Amendment to FC YURA Corporation Slovakia s.r.o. </t>
  </si>
  <si>
    <t>FC-120720-14550</t>
  </si>
  <si>
    <t>Amendment to FC Správa  ciest TSK</t>
  </si>
  <si>
    <t>21.07.2012</t>
  </si>
  <si>
    <t>FC-140123-21825</t>
  </si>
  <si>
    <t>Amendment to FC Národný bezpečnostný úrad</t>
  </si>
  <si>
    <t>01.01.2014</t>
  </si>
  <si>
    <t>FC-101221-9180</t>
  </si>
  <si>
    <t>Amendment to FC Allexis s. r. o.</t>
  </si>
  <si>
    <t>01.12.2010</t>
  </si>
  <si>
    <t>01.07.2015</t>
  </si>
  <si>
    <t>FC-160224-26222</t>
  </si>
  <si>
    <t>Amendment to FC Kúpele Nimnica, a.s. - MM</t>
  </si>
  <si>
    <t>01.12.2015</t>
  </si>
  <si>
    <t>FC-131023-21039</t>
  </si>
  <si>
    <t xml:space="preserve">Amendment to FC Július Meinl Baliarne a.s. </t>
  </si>
  <si>
    <t>01.11.2013</t>
  </si>
  <si>
    <t>FC-140603-23058</t>
  </si>
  <si>
    <t>Amendment to FC CCTo, s.r.o.</t>
  </si>
  <si>
    <t>FC-140814-23510</t>
  </si>
  <si>
    <t xml:space="preserve">Amendment to FC Burian  Miškov &amp; Partners  spol. s r.o. </t>
  </si>
  <si>
    <t>01.08.2014</t>
  </si>
  <si>
    <t>FC-150114-24385</t>
  </si>
  <si>
    <t xml:space="preserve">Amendment to FC DELTA DEFENCE, a.s. </t>
  </si>
  <si>
    <t>FC-150710-25247</t>
  </si>
  <si>
    <t xml:space="preserve">Amendment to FC Lambda Life a.s. </t>
  </si>
  <si>
    <t>FC-170208-27284</t>
  </si>
  <si>
    <t xml:space="preserve">Amendment to FC Linde Technické Plyny Slovensko k.s. </t>
  </si>
  <si>
    <t>01.02.2017</t>
  </si>
  <si>
    <t>FC-100423-5373</t>
  </si>
  <si>
    <t>Amendment to FC Mestská dopravná spoločnosť, a.s.</t>
  </si>
  <si>
    <t>01.04.2010</t>
  </si>
  <si>
    <t>FC-110523-10675</t>
  </si>
  <si>
    <t>Amendment to FC ORIWIN, s.r.o.</t>
  </si>
  <si>
    <t>24.05.2011</t>
  </si>
  <si>
    <t>01.07.2016</t>
  </si>
  <si>
    <t>FC-100609-5979</t>
  </si>
  <si>
    <t xml:space="preserve">Amendment to FC ENVIGEO, a.s. </t>
  </si>
  <si>
    <t>10.06.2010</t>
  </si>
  <si>
    <t>FC-121108-16342</t>
  </si>
  <si>
    <t>Amendment to FC Jozef Jelšík - Promogroup</t>
  </si>
  <si>
    <t>FC-140428-22603</t>
  </si>
  <si>
    <t>Amendment to FC PHARMACOPOLA s.r.o.</t>
  </si>
  <si>
    <t>07.05.2014</t>
  </si>
  <si>
    <t>FC-140530-22989</t>
  </si>
  <si>
    <t>Amendment to FC SLOVAKTUAL s.r.o.</t>
  </si>
  <si>
    <t>31.05.2014</t>
  </si>
  <si>
    <t>FC-140612-23164</t>
  </si>
  <si>
    <t>Amendment to FC sales field force s.r.o.</t>
  </si>
  <si>
    <t>13.06.2014</t>
  </si>
  <si>
    <t>FC-140612-23165</t>
  </si>
  <si>
    <t>Amendment to FC HERMES s.r.o.</t>
  </si>
  <si>
    <t>FC-141210-24181</t>
  </si>
  <si>
    <t>Amendment to FC SECURITAS SK, s.r.o.</t>
  </si>
  <si>
    <t>11.12.2014</t>
  </si>
  <si>
    <t>FC-110321-10284</t>
  </si>
  <si>
    <t>Amendment to FC Cirkevná servisná spoločnosť</t>
  </si>
  <si>
    <t>13.04.2011</t>
  </si>
  <si>
    <t>FC-141112-24012</t>
  </si>
  <si>
    <t>Amendment to FC Martin Kolík - AUTODOPRAVA</t>
  </si>
  <si>
    <t>13.11.2014</t>
  </si>
  <si>
    <t>FC-110608-10825</t>
  </si>
  <si>
    <t xml:space="preserve">Amendment to FC PORFIX pórobetón a.s. </t>
  </si>
  <si>
    <t>09.06.2011</t>
  </si>
  <si>
    <t>FC-140730-23401</t>
  </si>
  <si>
    <t>Amendment to FC KFTS s. r. o.</t>
  </si>
  <si>
    <t>08.08.2014</t>
  </si>
  <si>
    <t>FC-150209-24534</t>
  </si>
  <si>
    <t xml:space="preserve">Amendment to FC METEOR Slovensko, s.r.o. </t>
  </si>
  <si>
    <t>10.02.2015</t>
  </si>
  <si>
    <t>FC-150707-25246</t>
  </si>
  <si>
    <t>Amendment to FC Zeppelin SK s.r.o.</t>
  </si>
  <si>
    <t>10.07.2015</t>
  </si>
  <si>
    <t>FC-170807-27733</t>
  </si>
  <si>
    <t>Amendment to FC Emeldi Software Services Slovakia s.r.o. - MM</t>
  </si>
  <si>
    <t>01.08.2017</t>
  </si>
  <si>
    <t>FC-160908-26960</t>
  </si>
  <si>
    <t>Amendment to FC Pavol Maráček - EMPIRIA</t>
  </si>
  <si>
    <t>28.09.2016</t>
  </si>
  <si>
    <t>FC-150408-24786</t>
  </si>
  <si>
    <t xml:space="preserve">Amendment to FC SECAR spol  s.r.o. </t>
  </si>
  <si>
    <t>01.04.2015</t>
  </si>
  <si>
    <t>FC-121115-16479</t>
  </si>
  <si>
    <t>Amendment to FC EDART s. r. o.</t>
  </si>
  <si>
    <t>FC-130321-18796</t>
  </si>
  <si>
    <t xml:space="preserve">Amendment to FC MILSY a.s. </t>
  </si>
  <si>
    <t>23.03.2013</t>
  </si>
  <si>
    <t>FC-141013-23807</t>
  </si>
  <si>
    <t>Amendment to FC AG PLAY, s.r.o.</t>
  </si>
  <si>
    <t>08.10.2014</t>
  </si>
  <si>
    <t>FC-150526-24991</t>
  </si>
  <si>
    <t>Amendment to FC BK, a.s.</t>
  </si>
  <si>
    <t>01.05.2015</t>
  </si>
  <si>
    <t>FC-150318-24683</t>
  </si>
  <si>
    <t>Amendment to FC BESTRENT s. r. o.</t>
  </si>
  <si>
    <t>01.03.2015</t>
  </si>
  <si>
    <t>FC-161214-27181</t>
  </si>
  <si>
    <t>Amendment to FC IBSA Slovakia s.r.o. - MM</t>
  </si>
  <si>
    <t>01.05.2017</t>
  </si>
  <si>
    <t>FC-120323-13262</t>
  </si>
  <si>
    <t>Amendment to FC ISCAR SR s.r.o.</t>
  </si>
  <si>
    <t>24.03.2012</t>
  </si>
  <si>
    <t>FC-160823-26942</t>
  </si>
  <si>
    <t>Amendment to FC BOHEMIA ENERGY entity s.r.o.</t>
  </si>
  <si>
    <t>22.08.2016</t>
  </si>
  <si>
    <t>FC-160627-26760</t>
  </si>
  <si>
    <t>Amendment to FC gpsMonitor s. r. o.</t>
  </si>
  <si>
    <t>13.06.2016</t>
  </si>
  <si>
    <t>FC-140708-23277</t>
  </si>
  <si>
    <t>Amendment to FC PROFI CREDIT Slovakia, s.r.o.</t>
  </si>
  <si>
    <t>09.07.2014</t>
  </si>
  <si>
    <t>FC-141007-23802</t>
  </si>
  <si>
    <t>Amendment to FC HANT BA, a.s.</t>
  </si>
  <si>
    <t>05.04.2014</t>
  </si>
  <si>
    <t>FC-141209-24176</t>
  </si>
  <si>
    <t>Amendment to FC Neopublic s.r.o.</t>
  </si>
  <si>
    <t>01.12.2014</t>
  </si>
  <si>
    <t>FC-141209-24177</t>
  </si>
  <si>
    <t>Amendment to FC Gematic s.r.o.</t>
  </si>
  <si>
    <t>FC-150416-24814</t>
  </si>
  <si>
    <t>Amendment to FC MAYER TRANSPORT, spol. s r.o.</t>
  </si>
  <si>
    <t>FC-150511-24910</t>
  </si>
  <si>
    <t xml:space="preserve">Amendment to FC NAD 820 Bratislava, a.s. </t>
  </si>
  <si>
    <t>13.05.2015</t>
  </si>
  <si>
    <t>FC-150629-25162</t>
  </si>
  <si>
    <t xml:space="preserve">Amendment to FC Slovakia Play spol s.r.o. </t>
  </si>
  <si>
    <t>FC-150731-25364</t>
  </si>
  <si>
    <t>Amendment to FC AeroMobil R&amp;D, s. r. o.</t>
  </si>
  <si>
    <t>FC-140708-23275</t>
  </si>
  <si>
    <t>Amendment to FC Dallmayr Vending &amp; Office k.s.</t>
  </si>
  <si>
    <t>FC-160721-26878</t>
  </si>
  <si>
    <t>Amendment to FC Slovak Restaurant, s.r.o.</t>
  </si>
  <si>
    <t>FC-130905-20643</t>
  </si>
  <si>
    <t>Amendment to FC CCS - Cargo Customs Service s.r.o.</t>
  </si>
  <si>
    <t>06.09.2013</t>
  </si>
  <si>
    <t>FC-130805-20364</t>
  </si>
  <si>
    <t>Amendment to FC Greyson Consulting s.r.o.</t>
  </si>
  <si>
    <t>08.08.2013</t>
  </si>
  <si>
    <t>FC-141106-23983</t>
  </si>
  <si>
    <t>Amendment to FC SIPOX HOLDING a.s.</t>
  </si>
  <si>
    <t>01.11.2014</t>
  </si>
  <si>
    <t>FC-111021-11708</t>
  </si>
  <si>
    <t>Amendment to FC Ministerstvo obrany Slovenskej republiky</t>
  </si>
  <si>
    <t>01.10.2011</t>
  </si>
  <si>
    <t>FC-160125-26112</t>
  </si>
  <si>
    <t>Amendment to FC Slovenská pošta, a.s.</t>
  </si>
  <si>
    <t>27.01.2016</t>
  </si>
  <si>
    <t>FC-120112-12649</t>
  </si>
  <si>
    <t>Amendment to FC UNIVERSAL maklérsky dom a.s.</t>
  </si>
  <si>
    <t>10.01.2012</t>
  </si>
  <si>
    <t>FC-140715-23329</t>
  </si>
  <si>
    <t>Amendment to FC Slovenská záručná a rozvojová banka,a.s.</t>
  </si>
  <si>
    <t>16.07.2014</t>
  </si>
  <si>
    <t>FC-170207-27280</t>
  </si>
  <si>
    <t>Amendment to FC ICT ISTROCONTI, a.s. - MM</t>
  </si>
  <si>
    <t>01.02.2016</t>
  </si>
  <si>
    <t>FC-120319-13207</t>
  </si>
  <si>
    <t>Amendment to FC TESCOMA, s.r.o.</t>
  </si>
  <si>
    <t>01.03.2012</t>
  </si>
  <si>
    <t>FC-160603-26643</t>
  </si>
  <si>
    <t>Amendment to FC VAJDA GROUP s. r. o. - MM</t>
  </si>
  <si>
    <t>01.06.2016</t>
  </si>
  <si>
    <t>01.01.2017</t>
  </si>
  <si>
    <t>FC-130204-18207</t>
  </si>
  <si>
    <t>Amendment to FC VEREX HOLDING, a.s.</t>
  </si>
  <si>
    <t>07.02.2013</t>
  </si>
  <si>
    <t>01.03.2016</t>
  </si>
  <si>
    <t>08.01.2016</t>
  </si>
  <si>
    <t>FC-111026-11756</t>
  </si>
  <si>
    <t xml:space="preserve">Amendment to FC Ernst &amp; Young, k.s. </t>
  </si>
  <si>
    <t>FC-120426-13592</t>
  </si>
  <si>
    <t xml:space="preserve">Amendment to FC PricewaterhouseCoopers Slovensko, s.r.o. </t>
  </si>
  <si>
    <t>FC-141208-24169</t>
  </si>
  <si>
    <t>Amendment to FC Platiť sa oplatí s.r.o.</t>
  </si>
  <si>
    <t>FC-150108-24375</t>
  </si>
  <si>
    <t>Amendment to FC Philip Morris Slovakia s.r.o.</t>
  </si>
  <si>
    <t>01.05.2016</t>
  </si>
  <si>
    <t>FC-140917-23666</t>
  </si>
  <si>
    <t>Amendment to FC TIPOS, národná lotériová spoločnosť,a.s. - MM</t>
  </si>
  <si>
    <t>01.09.2014</t>
  </si>
  <si>
    <t>FC-131122-21346</t>
  </si>
  <si>
    <t>Amendment to FC ENTO, spol. s r. o. Košice - MM</t>
  </si>
  <si>
    <t>01.06.2017</t>
  </si>
  <si>
    <t>FC-160607-26649</t>
  </si>
  <si>
    <t>Amendment to FC A G I s.r.o. - MM</t>
  </si>
  <si>
    <t>FC-120924-15433</t>
  </si>
  <si>
    <t xml:space="preserve">Amendment to FC Den Braven SK spol.s r.o. </t>
  </si>
  <si>
    <t>FC-140715-23328</t>
  </si>
  <si>
    <t>Amendment to FC Školská jedáleň  SVŠ</t>
  </si>
  <si>
    <t>FC-150909-25480</t>
  </si>
  <si>
    <t xml:space="preserve">Amendment to FC Špecialné činnosti  Fabrický ,spol.s r.o. </t>
  </si>
  <si>
    <t>11.09.2015</t>
  </si>
  <si>
    <t>FC-140121-21821</t>
  </si>
  <si>
    <t>Amendment to FC Merck Sharp &amp; Dohme, s.r.o.</t>
  </si>
  <si>
    <t>FC-140217-22059</t>
  </si>
  <si>
    <t xml:space="preserve">Amendment to FC PRINTEC SLOVAKIA, spol. s r.o. </t>
  </si>
  <si>
    <t>01.02.2014</t>
  </si>
  <si>
    <t>FC-100607-5935</t>
  </si>
  <si>
    <t>Amendment to FC PLAČEK PREMIUM, s. r. o.</t>
  </si>
  <si>
    <t>01.06.2010</t>
  </si>
  <si>
    <t>FC-110623-10939</t>
  </si>
  <si>
    <t>24.06.2011</t>
  </si>
  <si>
    <t>FC-111115-11919</t>
  </si>
  <si>
    <t xml:space="preserve">Amendment to FC Incheba, akciová spoločnosť </t>
  </si>
  <si>
    <t>16.11.2011</t>
  </si>
  <si>
    <t>FC-130321-18797</t>
  </si>
  <si>
    <t>Amendment to FC LeasePlan Slovakia, s. r. o.</t>
  </si>
  <si>
    <t>FC-140114-21817</t>
  </si>
  <si>
    <t>Amendment to FC L´ORÉAL Slovensko s. r. o.</t>
  </si>
  <si>
    <t>15.01.2014</t>
  </si>
  <si>
    <t>FC-141217-24253</t>
  </si>
  <si>
    <t xml:space="preserve">Amendment to FC FIAT SR, spol. s r.o. </t>
  </si>
  <si>
    <t>18.12.2014</t>
  </si>
  <si>
    <t>FC-150107-24369</t>
  </si>
  <si>
    <t xml:space="preserve">Amendment to FC KAROSA, s.r.o. </t>
  </si>
  <si>
    <t>08.01.2015</t>
  </si>
  <si>
    <t>FC-100526-5765</t>
  </si>
  <si>
    <t>Amendment to FC Stredoslovenská energetika, a.s.</t>
  </si>
  <si>
    <t>01.05.2010</t>
  </si>
  <si>
    <t>FC-130927-20791</t>
  </si>
  <si>
    <t>Amendment to FC Mondi SCP, a.s.</t>
  </si>
  <si>
    <t>01.08.2013</t>
  </si>
  <si>
    <t>FC-131205-21529</t>
  </si>
  <si>
    <t>Amendment to FC DOXX - Stravné lístky, spol. s r.o.</t>
  </si>
  <si>
    <t>06.12.2013</t>
  </si>
  <si>
    <t>FC-100111-4439</t>
  </si>
  <si>
    <t>Amendment to FC Železničná spoločnosť Cargo Slovakia, a.s.</t>
  </si>
  <si>
    <t>01.01.2010</t>
  </si>
  <si>
    <t>FC-171108-27948</t>
  </si>
  <si>
    <t>DODATOK / Amendment to FC Slovak Parcel Service, s.r.o.</t>
  </si>
  <si>
    <t>02.11.2017</t>
  </si>
  <si>
    <t>FC-150717-25210</t>
  </si>
  <si>
    <t>Amendment to FC PRAGA Cars s.r.o. - MM</t>
  </si>
  <si>
    <t>17.07.2015</t>
  </si>
  <si>
    <t>FC-160606-26644</t>
  </si>
  <si>
    <t>Amendment to FC Otolift SchodiskovĂ? vĂ˝ĹĄahy, s. r. o. - MM</t>
  </si>
  <si>
    <t>15.06.2016</t>
  </si>
  <si>
    <t>FC-131120-21342</t>
  </si>
  <si>
    <t xml:space="preserve">Amendment to FC ŽOS Trnava, a.s. </t>
  </si>
  <si>
    <t>FC-120504-13662</t>
  </si>
  <si>
    <t>Amendment to FC SMARTCALL SK s.r.o.</t>
  </si>
  <si>
    <t>24.04.2012</t>
  </si>
  <si>
    <t>FC-140130-21914</t>
  </si>
  <si>
    <t>Amendment to FC ESM-YZAMER, energetické služby a monitoring s.r.o.</t>
  </si>
  <si>
    <t>08.02.2014</t>
  </si>
  <si>
    <t>12.01.2016</t>
  </si>
  <si>
    <t>FC-131018-21006</t>
  </si>
  <si>
    <t>Amendment to FC MARKÍZA - SLOVAKIA, spol. s r.o.</t>
  </si>
  <si>
    <t>19.10.2013</t>
  </si>
  <si>
    <t>FC-131127-21418</t>
  </si>
  <si>
    <t>Amendment to FC Slovenské elektrárne, a.s.</t>
  </si>
  <si>
    <t>01.09.2013</t>
  </si>
  <si>
    <t>FC-100322-5037</t>
  </si>
  <si>
    <t>Amendment to FC TMS International Košice s.r.o.</t>
  </si>
  <si>
    <t>01.03.2010</t>
  </si>
  <si>
    <t>FC-110822-11292</t>
  </si>
  <si>
    <t xml:space="preserve">Amendment to FC CEMM THOME SK,spol.s.r.o </t>
  </si>
  <si>
    <t>01.08.2011</t>
  </si>
  <si>
    <t>FC-130417-19028</t>
  </si>
  <si>
    <t>Amendment to FC KASA ZÁLOŽNÁ akciová spoločnosť</t>
  </si>
  <si>
    <t>FC-150908-25478</t>
  </si>
  <si>
    <t>Amendment to FC Správa mestskej zelene v Košiciach, príspevková or</t>
  </si>
  <si>
    <t>10.09.2015</t>
  </si>
  <si>
    <t>FC-151207-25898</t>
  </si>
  <si>
    <t>Amendment to FC Rada odborov OZ KOVO U.S. Steel Košice</t>
  </si>
  <si>
    <t>FC-161208-27169</t>
  </si>
  <si>
    <t xml:space="preserve">Amendment to FC SLOVENERGO  spol. s r.o. </t>
  </si>
  <si>
    <t>FC-141205-24124</t>
  </si>
  <si>
    <t>Amendment to FC BELLE EXPORT - IMPORT, s.r.o. Košice</t>
  </si>
  <si>
    <t>13.12.2014</t>
  </si>
  <si>
    <t>FC-081031-2162</t>
  </si>
  <si>
    <t xml:space="preserve">Amendment to FC SPOJSTAV spol. s r.o. Spišská Nová Ves </t>
  </si>
  <si>
    <t>01.10.2008</t>
  </si>
  <si>
    <t>FC-110104-9412</t>
  </si>
  <si>
    <t>Amendment to FC ELCOM, s.r.o., Prešov</t>
  </si>
  <si>
    <t>04.01.2011</t>
  </si>
  <si>
    <t>FC-121128-16872</t>
  </si>
  <si>
    <t>Amendment to FC STD DONIVO a.s., odštepný závod</t>
  </si>
  <si>
    <t>FC-080725-1623</t>
  </si>
  <si>
    <t>Amendment to FC PHOENIX Zdravotnícke zásobovanie, a.s.</t>
  </si>
  <si>
    <t>06.06.2008</t>
  </si>
  <si>
    <t>FC-130124-17940</t>
  </si>
  <si>
    <t>Amendment to FC Doprastav, a.s.</t>
  </si>
  <si>
    <t>04.02.2013</t>
  </si>
  <si>
    <t>FC-120424-13567</t>
  </si>
  <si>
    <t>Amendment to FC BILLA s.r.o.</t>
  </si>
  <si>
    <t>04.05.2012</t>
  </si>
  <si>
    <t>FC-080925-2088</t>
  </si>
  <si>
    <t>Amendment to FC CORA GEO, s.r.o. - MM</t>
  </si>
  <si>
    <t>18.07.2008</t>
  </si>
  <si>
    <t>FC-131007-20941</t>
  </si>
  <si>
    <t>Amendment to FC Spiš Market, spol. s r.o.</t>
  </si>
  <si>
    <t>FC-140311-22276</t>
  </si>
  <si>
    <t>Amendment to FC SZILCAR s.r.o.</t>
  </si>
  <si>
    <t>20.03.2014</t>
  </si>
  <si>
    <t>FC-130805-20365</t>
  </si>
  <si>
    <t>Amendment to FC VSK MINERAL s.r.o.</t>
  </si>
  <si>
    <t>FC-170208-27285</t>
  </si>
  <si>
    <t>Amendment to FC RegioJet a. s.</t>
  </si>
  <si>
    <t>FC-160622-26753</t>
  </si>
  <si>
    <t>Amendment to FC Royaldom, s. r. o. - MM</t>
  </si>
  <si>
    <t>22.06.2016</t>
  </si>
  <si>
    <t>FC-090817-3689</t>
  </si>
  <si>
    <t>Amendment to FC Slovenská sporiteľňa, a.s.</t>
  </si>
  <si>
    <t>18.08.2009</t>
  </si>
  <si>
    <t>FC-091120-4091</t>
  </si>
  <si>
    <t>Amendment to FC Kancelária Národnej rady Slovenskej republik</t>
  </si>
  <si>
    <t>24.11.2009</t>
  </si>
  <si>
    <t>neurcito</t>
  </si>
  <si>
    <t>FC-091118-4088</t>
  </si>
  <si>
    <t>Amendment to FC Nitriansky samosprávny kraj</t>
  </si>
  <si>
    <t>19.11.2009</t>
  </si>
  <si>
    <t>FC-170317-27380</t>
  </si>
  <si>
    <t>Amendment to FC Starohorská vinárska spoločnosť, družstvo</t>
  </si>
  <si>
    <t>17.03.2017</t>
  </si>
  <si>
    <t>FC-101216-9007</t>
  </si>
  <si>
    <t xml:space="preserve">Amendment to FC Mesto Nitra </t>
  </si>
  <si>
    <t>17.12.2010</t>
  </si>
  <si>
    <t>FC-140818-23519</t>
  </si>
  <si>
    <t xml:space="preserve">Amendment to FC SG FIX SK, a.s. </t>
  </si>
  <si>
    <t>18.09.2014</t>
  </si>
  <si>
    <t>FC-111114-11914</t>
  </si>
  <si>
    <t>Amendment to FC Allianz - Slovenská poisťovňa, a.s.</t>
  </si>
  <si>
    <t>29.11.2011</t>
  </si>
  <si>
    <t>FC-141121-24053</t>
  </si>
  <si>
    <t>Amendment to FC CRIF - Slovak Credit Bureau, s. r. o.</t>
  </si>
  <si>
    <t>FC-140505-22706</t>
  </si>
  <si>
    <t>Amendment to FC Gratex International, a.s.</t>
  </si>
  <si>
    <t>FC-150218-24549</t>
  </si>
  <si>
    <t xml:space="preserve">Amendment to FC DAMOVO Slovakia, s.r.o. </t>
  </si>
  <si>
    <t>01.02.2015</t>
  </si>
  <si>
    <t>FC-150511-24907</t>
  </si>
  <si>
    <t>Amendment to FC Astrium Services BC s.r.o.</t>
  </si>
  <si>
    <t>12.05.2015</t>
  </si>
  <si>
    <t>FC-100407-5171</t>
  </si>
  <si>
    <t>Amendment to FC Lear Corporation Seating Slovakia s.r.o.</t>
  </si>
  <si>
    <t>02.05.2010</t>
  </si>
  <si>
    <t>FC-120224-13029</t>
  </si>
  <si>
    <t>Amendment to FC FABORY - SLOVAKIA, s.r.o.</t>
  </si>
  <si>
    <t>25.02.2012</t>
  </si>
  <si>
    <t>FC-150102-24361</t>
  </si>
  <si>
    <t xml:space="preserve">Amendment to FC ICOS, a.s. Košice </t>
  </si>
  <si>
    <t>FC-170629-27629</t>
  </si>
  <si>
    <t>Amendment to FC spicybrown s. r. o.</t>
  </si>
  <si>
    <t>29.06.2017</t>
  </si>
  <si>
    <t>FC-161114-27110</t>
  </si>
  <si>
    <t>Amendment to FC MSM Martin, s.r.o.</t>
  </si>
  <si>
    <t>16.11.2016</t>
  </si>
  <si>
    <t>FC-130219-18303</t>
  </si>
  <si>
    <t>Amendment to FC NITRAZDROJ, a.s.</t>
  </si>
  <si>
    <t>FC-120221-12951</t>
  </si>
  <si>
    <t>Amendment to FC Podtatranská vodárenská prevádzková spoločnosť, a.</t>
  </si>
  <si>
    <t>01.02.2012</t>
  </si>
  <si>
    <t>FC-131121-21344</t>
  </si>
  <si>
    <t>Amendment to FC United Industries a.s.</t>
  </si>
  <si>
    <t>FC-160112-26010</t>
  </si>
  <si>
    <t xml:space="preserve">Amendment to FC Bekaert Hlohovec, a.s. </t>
  </si>
  <si>
    <t>01.01.2016</t>
  </si>
  <si>
    <t>FC-140205-21943</t>
  </si>
  <si>
    <t>Amendment to FC Deutsche Telekom Shared Services s. r. o.</t>
  </si>
  <si>
    <t>05.02.2014</t>
  </si>
  <si>
    <t>FC-160705-26836</t>
  </si>
  <si>
    <t>Amendment to FC HEITEC Slovensko, spol. s r.o. - MM</t>
  </si>
  <si>
    <t>FC-131216-21675</t>
  </si>
  <si>
    <t>Amendment to FC Paneurópska vysoká škola n.o.</t>
  </si>
  <si>
    <t>01.12.2013</t>
  </si>
  <si>
    <t>FC-160108-25999</t>
  </si>
  <si>
    <t xml:space="preserve">Amendment to FC KONE s.r.o. </t>
  </si>
  <si>
    <t>FC-160805-26907</t>
  </si>
  <si>
    <t>Amendment to FC AutoCon spol. s r. o.</t>
  </si>
  <si>
    <t>FC-170820-27757</t>
  </si>
  <si>
    <t>Amendment to FC LAMA SK, s.r.o.</t>
  </si>
  <si>
    <t>FC-160610-26701</t>
  </si>
  <si>
    <t>Amendment to FC ADECCO Slovakia, s. r. o. - MM</t>
  </si>
  <si>
    <t>FC-160219-26189</t>
  </si>
  <si>
    <t>Amendment to FC McROY Jobliner, s.r.o.</t>
  </si>
  <si>
    <t>FC-140325-22384</t>
  </si>
  <si>
    <t>Amendment to FC TransData s.r.o.</t>
  </si>
  <si>
    <t>01.10.2013</t>
  </si>
  <si>
    <t>pocet dni +/-</t>
  </si>
  <si>
    <t>FC-170823-27768</t>
  </si>
  <si>
    <t>New FC ERGO Poisťovňa, a. s.</t>
  </si>
  <si>
    <t>FC-101110-7933</t>
  </si>
  <si>
    <t>New FC Daňové riaditeľstvo Slovenskej republiky</t>
  </si>
  <si>
    <t>01.11.2010</t>
  </si>
  <si>
    <t>FC-170203-27260</t>
  </si>
  <si>
    <t>New FC 3070, a.s. - MM</t>
  </si>
  <si>
    <t>FC-160413-26420</t>
  </si>
  <si>
    <t>New FC ADASTRA, s.r.o.</t>
  </si>
  <si>
    <t>01.04.2016</t>
  </si>
  <si>
    <t>FC-140430-22704</t>
  </si>
  <si>
    <t>New FC IRIS IDENT, s.r.o.</t>
  </si>
  <si>
    <t>FC-170525-27538</t>
  </si>
  <si>
    <t>New FC AGEL SK a.s.</t>
  </si>
  <si>
    <t>FC-130821-20505</t>
  </si>
  <si>
    <t>New FC SCANIA SLOVAKIA s.r.o.</t>
  </si>
  <si>
    <t>01.10.2012</t>
  </si>
  <si>
    <t>FC-140627-23234</t>
  </si>
  <si>
    <t>New FC XAWAX personálni servis s.r.o.</t>
  </si>
  <si>
    <t>08.07.2014</t>
  </si>
  <si>
    <t>FC-151109-25749</t>
  </si>
  <si>
    <t>New FC A R A V E R a. s.</t>
  </si>
  <si>
    <t>10.11.2015</t>
  </si>
  <si>
    <t>FC-160623-26756</t>
  </si>
  <si>
    <t>New FC Diamantier, s.r.o. - MM</t>
  </si>
  <si>
    <t>21.12.2015</t>
  </si>
  <si>
    <t>FC-160222-26190</t>
  </si>
  <si>
    <t>New FC UI LOGISTIC SOLUTIONS, s.r.o. - MM</t>
  </si>
  <si>
    <t>22.02.2016</t>
  </si>
  <si>
    <t>FC-160622-26752</t>
  </si>
  <si>
    <t>New FC STSZ a.s.Trnava - MM</t>
  </si>
  <si>
    <t>FC-161027-27050</t>
  </si>
  <si>
    <t>New FC Viliam Králik - VIKRA - MM</t>
  </si>
  <si>
    <t>13.10.2016</t>
  </si>
  <si>
    <t>FC-170807-27730</t>
  </si>
  <si>
    <t>New FC DESYRE, s.r.o. - MM</t>
  </si>
  <si>
    <t>01.07.2017</t>
  </si>
  <si>
    <t>FC-170208-27293</t>
  </si>
  <si>
    <t>New FC adidas Slovakia, s.r.o. - MM</t>
  </si>
  <si>
    <t>FC-160510-26455</t>
  </si>
  <si>
    <t>New FC VAW, spol. s r.o.</t>
  </si>
  <si>
    <t>FC-160922-26987</t>
  </si>
  <si>
    <t>New FC STAPPERT SLOVENSKO a.s.</t>
  </si>
  <si>
    <t>23.09.2016</t>
  </si>
  <si>
    <t>FC-170929-27847</t>
  </si>
  <si>
    <t>New FC Cargo Wagon, a.s.</t>
  </si>
  <si>
    <t>FC-160329-26318</t>
  </si>
  <si>
    <t>New FC GAMEX TRADING s.r.o.</t>
  </si>
  <si>
    <t>06.04.2016</t>
  </si>
  <si>
    <t>FC-151111-25762</t>
  </si>
  <si>
    <t>New FC SLOVPOS,  a.s.</t>
  </si>
  <si>
    <t>13.11.2015</t>
  </si>
  <si>
    <t>FC-140925-23717</t>
  </si>
  <si>
    <t xml:space="preserve">New FC Prvá stavebná sporiteľňa a.s. </t>
  </si>
  <si>
    <t>New FC  - MM</t>
  </si>
  <si>
    <t>FC-170929-27845</t>
  </si>
  <si>
    <t>New FC AUTO-KLIMA Bratislava s.r.o. - MM</t>
  </si>
  <si>
    <t>FC-150811-25402</t>
  </si>
  <si>
    <t xml:space="preserve">New FC ŠKODA, SLOVAKIA, s.r.o. </t>
  </si>
  <si>
    <t>FC-151228-25982</t>
  </si>
  <si>
    <t xml:space="preserve">New FC PROFIS, spol. s r.o. </t>
  </si>
  <si>
    <t>22.12.2015</t>
  </si>
  <si>
    <t>01.09.2016</t>
  </si>
  <si>
    <t>FC-170109-27198</t>
  </si>
  <si>
    <t>New FC SLOVINTEGRA ENERGY, a.s. - MM</t>
  </si>
  <si>
    <t>31.12.2016</t>
  </si>
  <si>
    <t>FC-170109-27199</t>
  </si>
  <si>
    <t>New FC NEPHRO s.r.o. - MM</t>
  </si>
  <si>
    <t>FC-170505-27485</t>
  </si>
  <si>
    <t>New FC Trend Hygiena, s.r.o. - MM</t>
  </si>
  <si>
    <t>FC-160216-26188</t>
  </si>
  <si>
    <t>New FC OMOSS spol. s r.o. - MM</t>
  </si>
  <si>
    <t>FC-160607-26648</t>
  </si>
  <si>
    <t>New FC IS - Industry Solutions, a.s. - MM</t>
  </si>
  <si>
    <t>FC-160516-26574</t>
  </si>
  <si>
    <t>New FC WESTech. spol. s.r.o. - MM</t>
  </si>
  <si>
    <t>16.05.2016</t>
  </si>
  <si>
    <t>FC-160705-26837</t>
  </si>
  <si>
    <t>New FC SEONG JI SLOVAKIA s.r.o. - MM</t>
  </si>
  <si>
    <t>01.10.2016</t>
  </si>
  <si>
    <t>FC-160418-26425</t>
  </si>
  <si>
    <t>New FC eiffel optic, a. s. - MAGENTA MOBILE - MM</t>
  </si>
  <si>
    <t>08.04.2016</t>
  </si>
  <si>
    <t>FC-170207-27281</t>
  </si>
  <si>
    <t>New FC SLOWIN Bratislava, spol. s r.o. - MM</t>
  </si>
  <si>
    <t>FC-170109-27196</t>
  </si>
  <si>
    <t>FC-170710-27669</t>
  </si>
  <si>
    <t>New FC BOVI - RENA, s.r.o. - MM</t>
  </si>
  <si>
    <t>FC-170712-27681</t>
  </si>
  <si>
    <t>New FC Obec Lehota - MM</t>
  </si>
  <si>
    <t>FC-160401-26325</t>
  </si>
  <si>
    <t>New FC AŽD SLOVAKIA a. s. - MM</t>
  </si>
  <si>
    <t>FC-170210-27298</t>
  </si>
  <si>
    <t>New FC Hauerland spol. s r.o. - MM</t>
  </si>
  <si>
    <t>FC-170810-27747</t>
  </si>
  <si>
    <t>New FC ThyssenKrupp Výťahy, s.r.o. - MM</t>
  </si>
  <si>
    <t>11.05.2016</t>
  </si>
  <si>
    <t>FC-160708-26848</t>
  </si>
  <si>
    <t>New FC Peikko Slovakia s.r.o.</t>
  </si>
  <si>
    <t>09.07.2016</t>
  </si>
  <si>
    <t>FC-151109-25750</t>
  </si>
  <si>
    <t>New FC AGROSERVIS spol. s r.o.</t>
  </si>
  <si>
    <t>FC-151113-25777</t>
  </si>
  <si>
    <t xml:space="preserve">New FC REGINA IMPORT  s.r.o. </t>
  </si>
  <si>
    <t>14.11.2015</t>
  </si>
  <si>
    <t>FC-160510-26458</t>
  </si>
  <si>
    <t>New FC SLOVKLIMA DEIMOS, s.r.o.</t>
  </si>
  <si>
    <t>FC-170116-27214</t>
  </si>
  <si>
    <t xml:space="preserve">New FC STAVEX Nitra, spol. s r.o. </t>
  </si>
  <si>
    <t>18.01.2017</t>
  </si>
  <si>
    <t>FC-160107-25987</t>
  </si>
  <si>
    <t xml:space="preserve">New FC FARMSSYSTEMS s.r.o. </t>
  </si>
  <si>
    <t>FC-160708-26849</t>
  </si>
  <si>
    <t xml:space="preserve">New FC Semecs, s.r.o. </t>
  </si>
  <si>
    <t>FC-170515-27515</t>
  </si>
  <si>
    <t xml:space="preserve">New FC ViOn  a.s. </t>
  </si>
  <si>
    <t>16.05.2017</t>
  </si>
  <si>
    <t>22.06.2017</t>
  </si>
  <si>
    <t>FC-170620-27614</t>
  </si>
  <si>
    <t>New FC Secop s.r.o.</t>
  </si>
  <si>
    <t>FC-151028-25680</t>
  </si>
  <si>
    <t>New FC Deutsche Telekom Pan-Net s.r.o.</t>
  </si>
  <si>
    <t>28.11.2015</t>
  </si>
  <si>
    <t>FC-160421-26436</t>
  </si>
  <si>
    <t>New FC HRQ SK s.r.o. - MM - MM</t>
  </si>
  <si>
    <t>15.04.2016</t>
  </si>
  <si>
    <t>FC-170120-27243</t>
  </si>
  <si>
    <t>New FC A - STUDIO s.r.o. - MM</t>
  </si>
  <si>
    <t>FC-170711-27676</t>
  </si>
  <si>
    <t>New FC Victory sport, spol. s r.o. - MM</t>
  </si>
  <si>
    <t>19.06.2017</t>
  </si>
  <si>
    <t>FC-170711-27678</t>
  </si>
  <si>
    <t>New FC TERCOPLAST, a.s. - MM</t>
  </si>
  <si>
    <t>FC-160208-26155</t>
  </si>
  <si>
    <t>New FC K O F T , s. r. o.</t>
  </si>
  <si>
    <t>FC-160608-26652</t>
  </si>
  <si>
    <t>New FC Red Bull Slovensko, s.r.o.</t>
  </si>
  <si>
    <t>FC-170404-27403</t>
  </si>
  <si>
    <t>New FC JESSENIUS - diagnostické centrum, a.s. - MM</t>
  </si>
  <si>
    <t>FC-170511-27505</t>
  </si>
  <si>
    <t>New FC CESARE, s.r.o. - MM</t>
  </si>
  <si>
    <t>FC-170207-27275</t>
  </si>
  <si>
    <t>New FC EGAMED, spol. s r.o. - MM</t>
  </si>
  <si>
    <t>FC-161212-27180</t>
  </si>
  <si>
    <t>New FC FMB s.r.o. - MM</t>
  </si>
  <si>
    <t>FC-160928-26992</t>
  </si>
  <si>
    <t>New FC MEDITRADE spol. s r.o. - MM</t>
  </si>
  <si>
    <t>FC-161025-27044</t>
  </si>
  <si>
    <t>New FC GastroNet a.s. - MM</t>
  </si>
  <si>
    <t>FC-170515-27513</t>
  </si>
  <si>
    <t>New FC Möbelix SK, s. r. o.</t>
  </si>
  <si>
    <t>FC-160111-26002</t>
  </si>
  <si>
    <t>New FC Grafton Recruitment Slovakia, s.r.o.</t>
  </si>
  <si>
    <t>FC-160119-26014</t>
  </si>
  <si>
    <t>New FC KUULFABRIK, s. r. o.</t>
  </si>
  <si>
    <t>20.01.2016</t>
  </si>
  <si>
    <t>12.05.2016</t>
  </si>
  <si>
    <t>FC-170608-27588</t>
  </si>
  <si>
    <t>New FC SLOVAKIA TOP ESTATES, s.r.o.</t>
  </si>
  <si>
    <t>FC-141222-24258</t>
  </si>
  <si>
    <t>New FC Austrian Airlines Technik - Bratislava, s.r.o.</t>
  </si>
  <si>
    <t>FC-170515-27509</t>
  </si>
  <si>
    <t xml:space="preserve">New FC Procter &amp; Gamble  spol.s r.o. </t>
  </si>
  <si>
    <t>FC-140423-22600</t>
  </si>
  <si>
    <t>New FC Loomis SK, a.s.</t>
  </si>
  <si>
    <t>22.04.2013</t>
  </si>
  <si>
    <t>FC-170929-27841</t>
  </si>
  <si>
    <t xml:space="preserve">DODATOK / New FC FORZA, a.s. </t>
  </si>
  <si>
    <t>03.09.2017</t>
  </si>
  <si>
    <t>FC-171006-27860</t>
  </si>
  <si>
    <t>DODATOK / New FC Penta Investments,s.r.o.</t>
  </si>
  <si>
    <t>01.10.2017</t>
  </si>
  <si>
    <t>FC-170627-27626</t>
  </si>
  <si>
    <t>New FC DIPEX spol. s r. o. - MM</t>
  </si>
  <si>
    <t>FC-170707-27656</t>
  </si>
  <si>
    <t>New FC LIGAND, s.r.o. - MM</t>
  </si>
  <si>
    <t>FC-170620-27612</t>
  </si>
  <si>
    <t xml:space="preserve">New FC NEVITEL, a.s. </t>
  </si>
  <si>
    <t>27.06.2017</t>
  </si>
  <si>
    <t>FC-160510-26460</t>
  </si>
  <si>
    <t>New FC ENERGOMONT s.r.o.</t>
  </si>
  <si>
    <t>FC-170412-27441</t>
  </si>
  <si>
    <t>New FC Slovenská inšpekcia životného prostredia</t>
  </si>
  <si>
    <t>FC-170609-27590</t>
  </si>
  <si>
    <t xml:space="preserve">New FC Zoologická záhrada </t>
  </si>
  <si>
    <t>12.06.2017</t>
  </si>
  <si>
    <t>FC-170410-27417</t>
  </si>
  <si>
    <t>New FC NUBIUM, s. r. o. - MM</t>
  </si>
  <si>
    <t>FC-160107-25991</t>
  </si>
  <si>
    <t>New FC Hoško, a.s.</t>
  </si>
  <si>
    <t>FC-160309-26292</t>
  </si>
  <si>
    <t xml:space="preserve">New FC TORY CONSULTING a.s. </t>
  </si>
  <si>
    <t>10.03.2016</t>
  </si>
  <si>
    <t>FC-150604-25035</t>
  </si>
  <si>
    <t>New FC Value Transformation Services</t>
  </si>
  <si>
    <t>FC-161107-27069</t>
  </si>
  <si>
    <t>New FC FOREVER, s.r.o. - MM</t>
  </si>
  <si>
    <t>20.10.2016</t>
  </si>
  <si>
    <t>FC-161107-27067</t>
  </si>
  <si>
    <t>New FC SZRB Asset Management, a.s. - MM</t>
  </si>
  <si>
    <t>26.10.2016</t>
  </si>
  <si>
    <t>FC-161107-27068</t>
  </si>
  <si>
    <t>New FC Ing. Norbert Fassinger - NOFA - MM</t>
  </si>
  <si>
    <t>25.10.2016</t>
  </si>
  <si>
    <t>FC-160411-26402</t>
  </si>
  <si>
    <t>New FC STAVEBNINY BEBA, s.r.o. - MM</t>
  </si>
  <si>
    <t>08.03.2016</t>
  </si>
  <si>
    <t>FC-160421-26438</t>
  </si>
  <si>
    <t>New FC K + R s.r.o. - MM - MM</t>
  </si>
  <si>
    <t>22.04.2016</t>
  </si>
  <si>
    <t>FC-160622-26754</t>
  </si>
  <si>
    <t>New FC AG FOODS SK, s.r.o. - MM</t>
  </si>
  <si>
    <t>FC-160726-26880</t>
  </si>
  <si>
    <t>New FC Peter Vacho - MM</t>
  </si>
  <si>
    <t>FC-160929-26996</t>
  </si>
  <si>
    <t>New FC D.I.L.A.N. Servis, s.r.o. - MM</t>
  </si>
  <si>
    <t>FC-161207-27146</t>
  </si>
  <si>
    <t>New FC Nemček SONES spol. s r.o. - MM</t>
  </si>
  <si>
    <t>FC-170516-27521</t>
  </si>
  <si>
    <t>New FC Bizzcom s.r.o. - MM</t>
  </si>
  <si>
    <t>05.01.2017</t>
  </si>
  <si>
    <t>FC-170919-27808</t>
  </si>
  <si>
    <t>New FC Agrokov, spol. s r.o. - MM</t>
  </si>
  <si>
    <t>08.09.2017</t>
  </si>
  <si>
    <t>FC-160526-26606</t>
  </si>
  <si>
    <t>New FC Mountfield SK, s.r.o.</t>
  </si>
  <si>
    <t>FC-151005-25598</t>
  </si>
  <si>
    <t>New FC UNIX Auto s. r. o.</t>
  </si>
  <si>
    <t>07.10.2015</t>
  </si>
  <si>
    <t>FC-151217-25979</t>
  </si>
  <si>
    <t xml:space="preserve">New FC SkyToll, a. s. </t>
  </si>
  <si>
    <t>FC-160509-26453</t>
  </si>
  <si>
    <t>New FC OMV Slovensko, s r.o.</t>
  </si>
  <si>
    <t>FC-161207-27154</t>
  </si>
  <si>
    <t>New FC PEPSI-COLA SR, s.r.o.</t>
  </si>
  <si>
    <t>FC-170518-27529</t>
  </si>
  <si>
    <t>New FC ALRO-SLOVAKIA s.r.o.</t>
  </si>
  <si>
    <t>07.06.2017</t>
  </si>
  <si>
    <t>FC-170518-27530</t>
  </si>
  <si>
    <t>New FC Bodet &amp; Horst mattress ticking Verwaltungs s.r.o.</t>
  </si>
  <si>
    <t>FC-170725-27706</t>
  </si>
  <si>
    <t>New FC Univerzita sv. Cyrila a Metoda v Trnave</t>
  </si>
  <si>
    <t>FC-160805-26905</t>
  </si>
  <si>
    <t>New FC GRANEX Slovakia, spol. s r.o.</t>
  </si>
  <si>
    <t>10.08.2016</t>
  </si>
  <si>
    <t>FC-150225-24560</t>
  </si>
  <si>
    <t xml:space="preserve">New FC NOVES okná, s.r.o. </t>
  </si>
  <si>
    <t>20.01.2014</t>
  </si>
  <si>
    <t>FC-170306-27320</t>
  </si>
  <si>
    <t>New FC Paciga s.r.o. - MM</t>
  </si>
  <si>
    <t>09.03.2017</t>
  </si>
  <si>
    <t>FC-160314-26299</t>
  </si>
  <si>
    <t>New FC Eggproduct, a.s. - MM</t>
  </si>
  <si>
    <t>14.03.2016</t>
  </si>
  <si>
    <t>FC-161207-27152</t>
  </si>
  <si>
    <t>New FC Slovenská autobusová doprava Zvolen, akciová spolo</t>
  </si>
  <si>
    <t>FC-160315-26302</t>
  </si>
  <si>
    <t>New FC Považská cementáreň a.s. - MM</t>
  </si>
  <si>
    <t>FC-160908-26961</t>
  </si>
  <si>
    <t>New FC Seco Tools SK, s.r.o. - MM</t>
  </si>
  <si>
    <t>FC-161207-27158</t>
  </si>
  <si>
    <t>New FC Neo Domus, s. r. o. - MM</t>
  </si>
  <si>
    <t>FC-170911-27800</t>
  </si>
  <si>
    <t>New FC Obec Solčany - MM</t>
  </si>
  <si>
    <t>18.09.2017</t>
  </si>
  <si>
    <t>FC-151217-25981</t>
  </si>
  <si>
    <t>New FC FRESH STAV s.r.o.</t>
  </si>
  <si>
    <t>FC-160229-26226</t>
  </si>
  <si>
    <t>New FC AGB GROUP s.r.o. - MM</t>
  </si>
  <si>
    <t>23.11.2015</t>
  </si>
  <si>
    <t>FC-160309-26282</t>
  </si>
  <si>
    <t>New FC Atlas Copco s. r. o.</t>
  </si>
  <si>
    <t>FC-160623-26755</t>
  </si>
  <si>
    <t>New FC Mestská časť Bratislava - Rača</t>
  </si>
  <si>
    <t>FC-160107-25988</t>
  </si>
  <si>
    <t>New FC SCHNELLECKE SLOVAKIA s.r.o.</t>
  </si>
  <si>
    <t>FC-160107-25992</t>
  </si>
  <si>
    <t>New FC FERONA Slovakia, a.s.</t>
  </si>
  <si>
    <t>FC-170523-27535</t>
  </si>
  <si>
    <t>New FC HERN s.r.o.</t>
  </si>
  <si>
    <t>15.05.2017</t>
  </si>
  <si>
    <t>EMPLOYEE_NAME</t>
  </si>
  <si>
    <t>EMAIL</t>
  </si>
  <si>
    <t>alena.dianova@telekom.sk</t>
  </si>
  <si>
    <t>alica.kadurova@telekom.sk</t>
  </si>
  <si>
    <t>anna.simkova@telekom.sk</t>
  </si>
  <si>
    <t>barbora.rohonova@telekom.sk</t>
  </si>
  <si>
    <t>boris.balog@telekom.sk</t>
  </si>
  <si>
    <t>branislav.burdej@telekom.sk</t>
  </si>
  <si>
    <t>branislav.gec@telekom.sk</t>
  </si>
  <si>
    <t>branislav.michalik@telekom.sk</t>
  </si>
  <si>
    <t>dominika.dubenova@telekom.sk</t>
  </si>
  <si>
    <t>erika.skrovinova@telekom.sk</t>
  </si>
  <si>
    <t>eva.kubinova@telekom.sk</t>
  </si>
  <si>
    <t>gabriel.vanek@telekom.sk</t>
  </si>
  <si>
    <t>gergely.agocs@telekom.sk</t>
  </si>
  <si>
    <t>ingrid.zaborska@telekom.sk</t>
  </si>
  <si>
    <t>ivana.hrebikova@telekom.sk</t>
  </si>
  <si>
    <t>iveta.krejciova@telekom.sk</t>
  </si>
  <si>
    <t>jan.domin@telekom.sk</t>
  </si>
  <si>
    <t>jan.stroffek@telekom.sk</t>
  </si>
  <si>
    <t>jana.havelkova@telekom.sk</t>
  </si>
  <si>
    <t>jaroslav.horvath@telekom.sk</t>
  </si>
  <si>
    <t>jozef.lenko@telekom.sk</t>
  </si>
  <si>
    <t>jozef.lobb@telekom.sk</t>
  </si>
  <si>
    <t>lenka.mareckova@telekom.sk</t>
  </si>
  <si>
    <t>lubomir.kupka@telekom.sk</t>
  </si>
  <si>
    <t>lubomir.olejnik@telekom.sk</t>
  </si>
  <si>
    <t>lubomir.simoncic@telekom.sk</t>
  </si>
  <si>
    <t>lubos.palenik@telekom.sk</t>
  </si>
  <si>
    <t>ludek.vrtik@telekom.sk</t>
  </si>
  <si>
    <t>marcela.kelecsenyiova@telekom.sk</t>
  </si>
  <si>
    <t>marek.halaj@telekom.sk</t>
  </si>
  <si>
    <t>marek.zani@telekom.sk</t>
  </si>
  <si>
    <t>maria.vavrikova@telekom.sk</t>
  </si>
  <si>
    <t>martin.bartko@telekom.sk</t>
  </si>
  <si>
    <t>martin.beres@telekom.sk</t>
  </si>
  <si>
    <t>martin.cervenan@telekom.sk</t>
  </si>
  <si>
    <t>martin.duda@telekom.sk</t>
  </si>
  <si>
    <t>martin.marcisovsky@telekom.sk</t>
  </si>
  <si>
    <t>michal.bratko@telekom.sk</t>
  </si>
  <si>
    <t>michal.halada@telekom.sk</t>
  </si>
  <si>
    <t>michal.petricek@telekom.sk</t>
  </si>
  <si>
    <t>michal.schellberger@telekom.sk</t>
  </si>
  <si>
    <t>michal.zahoran@telekom.sk</t>
  </si>
  <si>
    <t>milos.kostal@telekom.sk</t>
  </si>
  <si>
    <t>milos.potocky@telekom.sk</t>
  </si>
  <si>
    <t>miroslav.miklas@telekom.sk</t>
  </si>
  <si>
    <t>miroslava.krchnava@telekom.sk</t>
  </si>
  <si>
    <t>monika.simonova@telekom.sk</t>
  </si>
  <si>
    <t>ondrej.schvarcz@telekom.sk</t>
  </si>
  <si>
    <t>patrik.dobry@telekom.sk</t>
  </si>
  <si>
    <t>peter.solar@telekom.sk</t>
  </si>
  <si>
    <t>peter1.cernak@telekom.sk</t>
  </si>
  <si>
    <t>radovan.peller@telekom.sk</t>
  </si>
  <si>
    <t>rastislav.zverbik@telekom.sk</t>
  </si>
  <si>
    <t>renata.rabekova@telekom.sk</t>
  </si>
  <si>
    <t>roman.kling@telekom.sk</t>
  </si>
  <si>
    <t>roman.krncan@telekom.sk</t>
  </si>
  <si>
    <t>roman.lukacovic@telekom.sk</t>
  </si>
  <si>
    <t>slavomir.zakarovsky@telekom.sk</t>
  </si>
  <si>
    <t>stanislav.subert@telekom.sk</t>
  </si>
  <si>
    <t>stefan.kunak@telekom.sk</t>
  </si>
  <si>
    <t>stefan.opremcak@telekom.sk</t>
  </si>
  <si>
    <t>tibor.saly@telekom.sk</t>
  </si>
  <si>
    <t>tomas.banes@telekom.sk</t>
  </si>
  <si>
    <t>tomas.nemoga@telekom.sk</t>
  </si>
  <si>
    <t>vaclav.bajgart@telekom.sk</t>
  </si>
  <si>
    <t>vladimir.galik@telekom.sk</t>
  </si>
  <si>
    <t>vladimir.kohut@telekom.sk</t>
  </si>
  <si>
    <t>zuzana.hudecova@telekom.sk</t>
  </si>
  <si>
    <t>Dianová Alena</t>
  </si>
  <si>
    <t>Kadurová Alica</t>
  </si>
  <si>
    <t>Šimková Anna</t>
  </si>
  <si>
    <t>Rohoňová Barbora</t>
  </si>
  <si>
    <t>Balog Boris</t>
  </si>
  <si>
    <t>Burdej Branislav</t>
  </si>
  <si>
    <t>Géc Branislav</t>
  </si>
  <si>
    <t>Michalik Branislav</t>
  </si>
  <si>
    <t>Dubeňová Dominika</t>
  </si>
  <si>
    <t>Škrovinová Erika</t>
  </si>
  <si>
    <t>Kubínová Eva</t>
  </si>
  <si>
    <t>Vanek Gabriel</t>
  </si>
  <si>
    <t>Agócs Gergely</t>
  </si>
  <si>
    <t>Záborská Ingrid</t>
  </si>
  <si>
    <t>Hrebiková Ivana</t>
  </si>
  <si>
    <t>Krejčíová Iveta</t>
  </si>
  <si>
    <t>Domin Ján</t>
  </si>
  <si>
    <t>Štroffek Ján</t>
  </si>
  <si>
    <t>Havelková Jana</t>
  </si>
  <si>
    <t>Horváth Jaroslav</t>
  </si>
  <si>
    <t>Leňko Jozef</t>
  </si>
  <si>
    <t>Löbb Jozef</t>
  </si>
  <si>
    <t>Marečková Lenka</t>
  </si>
  <si>
    <t>Kupka Ľubomír</t>
  </si>
  <si>
    <t>Olejník Ľubomír</t>
  </si>
  <si>
    <t>Šimončič Ľubomír</t>
  </si>
  <si>
    <t>Páleník Ľuboš</t>
  </si>
  <si>
    <t>Vrtík Luděk</t>
  </si>
  <si>
    <t>Kelecsényiová Marcela</t>
  </si>
  <si>
    <t>Halaj Marek</t>
  </si>
  <si>
    <t>Záni Marek</t>
  </si>
  <si>
    <t>Vavríková Mária</t>
  </si>
  <si>
    <t>Bartko Martin</t>
  </si>
  <si>
    <t>Béreš Martin</t>
  </si>
  <si>
    <t>Červeňan Martin</t>
  </si>
  <si>
    <t>Duda Martin</t>
  </si>
  <si>
    <t>Marčišovský Martin</t>
  </si>
  <si>
    <t>Bratko Michal</t>
  </si>
  <si>
    <t>Halada Michal</t>
  </si>
  <si>
    <t>Petríček Michal</t>
  </si>
  <si>
    <t>Schellberger Michal</t>
  </si>
  <si>
    <t>Zahoran Michal</t>
  </si>
  <si>
    <t>Košťál Miloš</t>
  </si>
  <si>
    <t>Potocký Miloš</t>
  </si>
  <si>
    <t>Miklas Miroslav</t>
  </si>
  <si>
    <t>Krchňavá Miroslava</t>
  </si>
  <si>
    <t>Šimonová Monika</t>
  </si>
  <si>
    <t>Schvarcz Ondrej</t>
  </si>
  <si>
    <t>Dobrý Patrik</t>
  </si>
  <si>
    <t>Soľár Peter</t>
  </si>
  <si>
    <t>Černák Peter</t>
  </si>
  <si>
    <t>Peller Radovan</t>
  </si>
  <si>
    <t>Zverbík Rastislav</t>
  </si>
  <si>
    <t>Rábeková Renata</t>
  </si>
  <si>
    <t>Kling Roman</t>
  </si>
  <si>
    <t>Krnčan Roman</t>
  </si>
  <si>
    <t>Lukačovič Roman</t>
  </si>
  <si>
    <t>Zakarovský Slavomír</t>
  </si>
  <si>
    <t>Šubert Stanislav</t>
  </si>
  <si>
    <t>Kuňák Štefan</t>
  </si>
  <si>
    <t>Opremčák Štefan</t>
  </si>
  <si>
    <t>Šály Tibor</t>
  </si>
  <si>
    <t>Bánes Tomáš</t>
  </si>
  <si>
    <t>Nemoga Tomáš</t>
  </si>
  <si>
    <t>Bajgart Václav</t>
  </si>
  <si>
    <t>Gálik Vladimír</t>
  </si>
  <si>
    <t>Kohút Vladimír</t>
  </si>
  <si>
    <t>Hudecová Zuzana</t>
  </si>
  <si>
    <t>emil.galanek@telekom.sk</t>
  </si>
  <si>
    <t>marian.kiko@telekom.sk</t>
  </si>
  <si>
    <t>miroslav.scepka@telekom.sk</t>
  </si>
  <si>
    <t>pavol.prager@telekom.sk</t>
  </si>
  <si>
    <t>peter.polovka@telekom.sk</t>
  </si>
  <si>
    <t>radoslav.horvath@telekom.sk</t>
  </si>
  <si>
    <t>robert.jahn@telekom.sk</t>
  </si>
  <si>
    <t>simon.miklas@telekom.sk</t>
  </si>
  <si>
    <t>stanislava.kalakaj@telekom.sk</t>
  </si>
  <si>
    <t>Galánek Emil</t>
  </si>
  <si>
    <t>Kiko Marián</t>
  </si>
  <si>
    <t>Ščepka Miroslav</t>
  </si>
  <si>
    <t>Práger Pavol</t>
  </si>
  <si>
    <t>Polovka Peter</t>
  </si>
  <si>
    <t>Horváth Radoslav</t>
  </si>
  <si>
    <t>Jáhn Róbert</t>
  </si>
  <si>
    <t>Mikláš Šimon</t>
  </si>
  <si>
    <t>Kalakaj Stanislava</t>
  </si>
  <si>
    <t>POVODNA HODNOTA V CLARIFY</t>
  </si>
  <si>
    <t>PRISLO OD PSP</t>
  </si>
  <si>
    <t>DODATOK/NOVA RZ</t>
  </si>
  <si>
    <t>Menovky riadkov</t>
  </si>
  <si>
    <t>Celkový súčet</t>
  </si>
  <si>
    <t>Počet DODATOK/NOVA RZ</t>
  </si>
  <si>
    <t>Odlišný počet EMPLOYEE_NAME</t>
  </si>
  <si>
    <t>DELTA</t>
  </si>
  <si>
    <t>max</t>
  </si>
  <si>
    <t>SPRAVNE DATA</t>
  </si>
  <si>
    <t>COMPANY_REG_NO</t>
  </si>
  <si>
    <t>COMPANY_NAME</t>
  </si>
  <si>
    <t>NOVA RZ</t>
  </si>
  <si>
    <t>44783892</t>
  </si>
  <si>
    <t>Trend Hygiena, s.r.o.</t>
  </si>
  <si>
    <t>44077866</t>
  </si>
  <si>
    <t>ADECCO Slovakia, s. r. o.</t>
  </si>
  <si>
    <t>44672136</t>
  </si>
  <si>
    <t>Emeldi Software Services Slovakia s.r.o.</t>
  </si>
  <si>
    <t>47523441</t>
  </si>
  <si>
    <t>Cargo Wagon, a.s.</t>
  </si>
  <si>
    <t>34138064</t>
  </si>
  <si>
    <t>HEITEC Slovensko, spol. s r.o.</t>
  </si>
  <si>
    <t>31615716</t>
  </si>
  <si>
    <t>Považská cementáreň, a.s.</t>
  </si>
  <si>
    <t>46968130</t>
  </si>
  <si>
    <t>Diamantier, s.r.o.</t>
  </si>
  <si>
    <t>36229377</t>
  </si>
  <si>
    <t>Seco Tools SK, s.r.o.</t>
  </si>
  <si>
    <t>36300489</t>
  </si>
  <si>
    <t>Neo Domus, s. r. o.</t>
  </si>
  <si>
    <t>00311081</t>
  </si>
  <si>
    <t>Obec Solčany</t>
  </si>
  <si>
    <t>31656552</t>
  </si>
  <si>
    <t>ENTO, spol. s r. o. Košice</t>
  </si>
  <si>
    <t>35824271</t>
  </si>
  <si>
    <t>CESARE, s.r.o.</t>
  </si>
  <si>
    <t>31403344</t>
  </si>
  <si>
    <t>PLAČEK PREMIUM, s. r. o.</t>
  </si>
  <si>
    <t>17329477</t>
  </si>
  <si>
    <t>AUTO - IMPEX spol. s r.o.</t>
  </si>
  <si>
    <t>00211087</t>
  </si>
  <si>
    <t>Incheba, akciová spoločnosť</t>
  </si>
  <si>
    <t>36257346</t>
  </si>
  <si>
    <t>ARIDUS Technologies, s.r.o.</t>
  </si>
  <si>
    <t>35937335</t>
  </si>
  <si>
    <t>LIMOUSINE SERVICE, s.r.o.</t>
  </si>
  <si>
    <t>44558970</t>
  </si>
  <si>
    <t>LeasePlan Slovakia, s. r. o.</t>
  </si>
  <si>
    <t>35718625</t>
  </si>
  <si>
    <t>YIT Slovakia a.s.</t>
  </si>
  <si>
    <t>35725354</t>
  </si>
  <si>
    <t>L´ORÉAL Slovensko s. r. o.</t>
  </si>
  <si>
    <t>35795808</t>
  </si>
  <si>
    <t>DIEBOLD NIXDORF s.r.o.</t>
  </si>
  <si>
    <t>31344143</t>
  </si>
  <si>
    <t>FIAT SR, spol. s r.o.</t>
  </si>
  <si>
    <t>35765704</t>
  </si>
  <si>
    <t>Iveco Slovakia, s.r.o.</t>
  </si>
  <si>
    <t>48214876</t>
  </si>
  <si>
    <t>Viktis s.r.o.</t>
  </si>
  <si>
    <t>35874155</t>
  </si>
  <si>
    <t>Grafton Recruitment Slovakia, s.r.o.</t>
  </si>
  <si>
    <t>44891610</t>
  </si>
  <si>
    <t>KUULFABRIK, s. r. o.</t>
  </si>
  <si>
    <t>36276065</t>
  </si>
  <si>
    <t>SLOVAKIA TOP ESTATES, s.r.o.</t>
  </si>
  <si>
    <t>17672520</t>
  </si>
  <si>
    <t>Pavol Maráček - EMPIRIA</t>
  </si>
  <si>
    <t>31443265</t>
  </si>
  <si>
    <t>GAMEX TRADING s.r.o.</t>
  </si>
  <si>
    <t>44590270</t>
  </si>
  <si>
    <t>Royaldom, s. r. o.</t>
  </si>
  <si>
    <t>35844116</t>
  </si>
  <si>
    <t>STAVEBNINY BEBA, s.r.o.</t>
  </si>
  <si>
    <t>35742844</t>
  </si>
  <si>
    <t>RIHO INVEST s.r.o.</t>
  </si>
  <si>
    <t>34144579</t>
  </si>
  <si>
    <t>AG FOODS SK, s.r.o.</t>
  </si>
  <si>
    <t>32816278</t>
  </si>
  <si>
    <t>Peter Vacho</t>
  </si>
  <si>
    <t>35854171</t>
  </si>
  <si>
    <t>D.I.L.A.N. Servis, s.r.o.</t>
  </si>
  <si>
    <t>36248371</t>
  </si>
  <si>
    <t>Nemček SONES spol. s r.o.</t>
  </si>
  <si>
    <t>36814351</t>
  </si>
  <si>
    <t>Bizzcom s.r.o.</t>
  </si>
  <si>
    <t>46334831</t>
  </si>
  <si>
    <t>Agrokov, spol. s r.o.</t>
  </si>
  <si>
    <t>31410391</t>
  </si>
  <si>
    <t>A G I s.r.o.</t>
  </si>
  <si>
    <t>00613606</t>
  </si>
  <si>
    <t>EGAMED, spol. s r.o.</t>
  </si>
  <si>
    <t>31638708</t>
  </si>
  <si>
    <t>Kúpele Nimnica, a.s.</t>
  </si>
  <si>
    <t>44986033</t>
  </si>
  <si>
    <t>UI LOGISTIC SOLUTIONS, s.r.o.</t>
  </si>
  <si>
    <t>34130250</t>
  </si>
  <si>
    <t>STSZ, a.s.</t>
  </si>
  <si>
    <t>32288352</t>
  </si>
  <si>
    <t>Viliam Králik - VIKRA</t>
  </si>
  <si>
    <t>44522029</t>
  </si>
  <si>
    <t>DESYRE, s.r.o.</t>
  </si>
  <si>
    <t>34142941</t>
  </si>
  <si>
    <t>PHOENIX Zdravotnícke zásobovanie, a.s.</t>
  </si>
  <si>
    <t>31347037</t>
  </si>
  <si>
    <t>BILLA, s.r.o.</t>
  </si>
  <si>
    <t>31333320</t>
  </si>
  <si>
    <t>Doprastav, a.s.</t>
  </si>
  <si>
    <t>36029076</t>
  </si>
  <si>
    <t>Zoznam, s.r.o.</t>
  </si>
  <si>
    <t>31321828</t>
  </si>
  <si>
    <t>TESCO STORES SR, a.s.</t>
  </si>
  <si>
    <t>35826649</t>
  </si>
  <si>
    <t>SCANIA SLOVAKIA s.r.o.</t>
  </si>
  <si>
    <t>36846686</t>
  </si>
  <si>
    <t>Greyson Consulting s.r.o.</t>
  </si>
  <si>
    <t>35746793</t>
  </si>
  <si>
    <t>CCS - Cargo Customs Service s.r.o.</t>
  </si>
  <si>
    <t>35767014</t>
  </si>
  <si>
    <t>SIPOX HOLDING a.s.</t>
  </si>
  <si>
    <t>31335004</t>
  </si>
  <si>
    <t>Prvá stavebná sporiteľňa, a. s.</t>
  </si>
  <si>
    <t>35779012</t>
  </si>
  <si>
    <t>ERGO Poisťovňa, a. s.</t>
  </si>
  <si>
    <t>36343358</t>
  </si>
  <si>
    <t>FMB s.r.o.</t>
  </si>
  <si>
    <t>35748729</t>
  </si>
  <si>
    <t>AUTO-KLIMA Bratislava s.r.o.</t>
  </si>
  <si>
    <t>00304557</t>
  </si>
  <si>
    <t>Mestská časť Bratislava - Rača</t>
  </si>
  <si>
    <t>31325602</t>
  </si>
  <si>
    <t>SECAR spol. s r.o.</t>
  </si>
  <si>
    <t>36663344</t>
  </si>
  <si>
    <t>Austrian Airlines Technik - Bratislava, s.r.o.</t>
  </si>
  <si>
    <t>31342451</t>
  </si>
  <si>
    <t>Procter &amp; Gamble, spol. s r.o.</t>
  </si>
  <si>
    <t>46245332</t>
  </si>
  <si>
    <t>HRQ SK s.r.o.</t>
  </si>
  <si>
    <t>31396526</t>
  </si>
  <si>
    <t>A - STUDIO s.r.o.</t>
  </si>
  <si>
    <t>35774282</t>
  </si>
  <si>
    <t>Victory sport, spol. s r.o.</t>
  </si>
  <si>
    <t>35749296</t>
  </si>
  <si>
    <t>TERCOPLAST, s.r.o.</t>
  </si>
  <si>
    <t>35822091</t>
  </si>
  <si>
    <t>UNIVERSAL maklérsky dom a.s.</t>
  </si>
  <si>
    <t>44214375</t>
  </si>
  <si>
    <t>eiffel optic, a. s.</t>
  </si>
  <si>
    <t>36354767</t>
  </si>
  <si>
    <t>SONET Slovakia, s.r.o.</t>
  </si>
  <si>
    <t>31347215</t>
  </si>
  <si>
    <t>ŠKODA AUTO Slovensko s.r.o.</t>
  </si>
  <si>
    <t>47823305</t>
  </si>
  <si>
    <t>FOKUS očná optika a.s.</t>
  </si>
  <si>
    <t>00682420</t>
  </si>
  <si>
    <t>Slovenská záručná a rozvojová banka,a.s.</t>
  </si>
  <si>
    <t>36377147</t>
  </si>
  <si>
    <t>Mountfield SK, s.r.o.</t>
  </si>
  <si>
    <t>46117733</t>
  </si>
  <si>
    <t>gpsMonitor s. r. o.</t>
  </si>
  <si>
    <t>35796111</t>
  </si>
  <si>
    <t>WESTech. spol. s.r.o.</t>
  </si>
  <si>
    <t>35938048</t>
  </si>
  <si>
    <t>SEONG JI SLOVAKIA s.r.o.</t>
  </si>
  <si>
    <t>35741236</t>
  </si>
  <si>
    <t>TransData s.r.o.</t>
  </si>
  <si>
    <t>36401137</t>
  </si>
  <si>
    <t>FERONA Slovakia, a.s.</t>
  </si>
  <si>
    <t>36381047</t>
  </si>
  <si>
    <t>HERN s.r.o.</t>
  </si>
  <si>
    <t>44500734</t>
  </si>
  <si>
    <t>SkyToll, a. s.</t>
  </si>
  <si>
    <t>00604381</t>
  </si>
  <si>
    <t>OMV Slovensko, s.r.o.</t>
  </si>
  <si>
    <t>31362681</t>
  </si>
  <si>
    <t>PEPSI-COLA SR, s.r.o.</t>
  </si>
  <si>
    <t>31318932</t>
  </si>
  <si>
    <t>Julius Meinl Coffee Intl., a. s.</t>
  </si>
  <si>
    <t>44493525</t>
  </si>
  <si>
    <t>CCTo, s.r.o.</t>
  </si>
  <si>
    <t>31335667</t>
  </si>
  <si>
    <t>MUW / SAATCHI &amp; SAATCHI, spol. s r.o.</t>
  </si>
  <si>
    <t>36515175</t>
  </si>
  <si>
    <t>DELTA DEFENCE, a.s.</t>
  </si>
  <si>
    <t>35848189</t>
  </si>
  <si>
    <t>Lambda Life a.s.</t>
  </si>
  <si>
    <t>31373861</t>
  </si>
  <si>
    <t>Linde Gas k.s.</t>
  </si>
  <si>
    <t>35739738</t>
  </si>
  <si>
    <t>adidas Slovakia, s.r.o.</t>
  </si>
  <si>
    <t>36486001</t>
  </si>
  <si>
    <t>Eggproduct, a.s.</t>
  </si>
  <si>
    <t>35755521</t>
  </si>
  <si>
    <t>Jan Becher - Slovensko s.r.o.</t>
  </si>
  <si>
    <t>45684618</t>
  </si>
  <si>
    <t>Platiť sa oplatí s.r.o.</t>
  </si>
  <si>
    <t>31344259</t>
  </si>
  <si>
    <t>Philip Morris Slovakia s.r.o.</t>
  </si>
  <si>
    <t>36540315</t>
  </si>
  <si>
    <t>JESSENIUS - diagnostické centrum, a.s.</t>
  </si>
  <si>
    <t>36269875</t>
  </si>
  <si>
    <t>TOPKRAFT SK a.s.</t>
  </si>
  <si>
    <t>36679801</t>
  </si>
  <si>
    <t>ALRO-SLOVAKIA s.r.o.</t>
  </si>
  <si>
    <t>36269727</t>
  </si>
  <si>
    <t>Bodet &amp; Horst mattress ticking Verwaltungs s.r.o.</t>
  </si>
  <si>
    <t>36078913</t>
  </si>
  <si>
    <t>Univerzita sv. Cyrila a Metoda v Trnave</t>
  </si>
  <si>
    <t>47592761</t>
  </si>
  <si>
    <t>McROY Jobliner, s.r.o.</t>
  </si>
  <si>
    <t>35768908</t>
  </si>
  <si>
    <t>SCHNELLECKE SLOVAKIA s.r.o.</t>
  </si>
  <si>
    <t>46631879</t>
  </si>
  <si>
    <t>SMARTCALL SK s.r.o.</t>
  </si>
  <si>
    <t>34108513</t>
  </si>
  <si>
    <t>ŽOS Trnava, a.s.</t>
  </si>
  <si>
    <t>36226904</t>
  </si>
  <si>
    <t>ESM-YZAMER, energetické služby a monitoring s.r.o.</t>
  </si>
  <si>
    <t>31432425</t>
  </si>
  <si>
    <t>ENERGOMONT s.r.o.</t>
  </si>
  <si>
    <t>36240826</t>
  </si>
  <si>
    <t>NEVITEL, a.s.</t>
  </si>
  <si>
    <t>35761814</t>
  </si>
  <si>
    <t>MADE BY VACULIK, s. r. o.</t>
  </si>
  <si>
    <t>35803118</t>
  </si>
  <si>
    <t>Dallmayr Vending &amp; Office k.s.</t>
  </si>
  <si>
    <t>35792752</t>
  </si>
  <si>
    <t>PROFI CREDIT Slovakia, s.r.o.</t>
  </si>
  <si>
    <t>36328375</t>
  </si>
  <si>
    <t>HANT BA, a.s.</t>
  </si>
  <si>
    <t>35800356</t>
  </si>
  <si>
    <t>Neopublic s.r.o.</t>
  </si>
  <si>
    <t>35977892</t>
  </si>
  <si>
    <t>Gematic s.r.o.</t>
  </si>
  <si>
    <t>36219118</t>
  </si>
  <si>
    <t>MAYER TRANSPORT, spol. s r.o.</t>
  </si>
  <si>
    <t>31401023</t>
  </si>
  <si>
    <t>NAD 820 Bratislava, a.s.</t>
  </si>
  <si>
    <t>18048595</t>
  </si>
  <si>
    <t>SLOVAKIA PLAY, spol. s r.o.</t>
  </si>
  <si>
    <t>45674175</t>
  </si>
  <si>
    <t>AeroMobil, s.r.o.</t>
  </si>
  <si>
    <t>36862541</t>
  </si>
  <si>
    <t>Slovak Restaurants, s. r. o.</t>
  </si>
  <si>
    <t>36052639</t>
  </si>
  <si>
    <t>IRIS IDENT, s.r.o.</t>
  </si>
  <si>
    <t>31640168</t>
  </si>
  <si>
    <t>Hoško, a.s.</t>
  </si>
  <si>
    <t>31372074</t>
  </si>
  <si>
    <t>First Data Slovakia, s.r.o.</t>
  </si>
  <si>
    <t>00151700</t>
  </si>
  <si>
    <t>Allianz - Slovenská poisťovňa, a.s.</t>
  </si>
  <si>
    <t>35886013</t>
  </si>
  <si>
    <t>SCB - Slovak Credit Bureau, s.r.o.</t>
  </si>
  <si>
    <t>47251336</t>
  </si>
  <si>
    <t>UniCredit Bank Czech Repu blic and Slovakia, a.s., pobočka zahraničnej banky</t>
  </si>
  <si>
    <t>46492712</t>
  </si>
  <si>
    <t>BESTRENT s. r. o.</t>
  </si>
  <si>
    <t>35870745</t>
  </si>
  <si>
    <t>IBSA Slovakia s.r.o.</t>
  </si>
  <si>
    <t>36500968</t>
  </si>
  <si>
    <t>Podtatranská vodárenská prevádzková spoločnosť, a.s.</t>
  </si>
  <si>
    <t>34098593</t>
  </si>
  <si>
    <t>NITRAZDROJ, a.s.</t>
  </si>
  <si>
    <t>35686031</t>
  </si>
  <si>
    <t>United Industries a.s.</t>
  </si>
  <si>
    <t>36234052</t>
  </si>
  <si>
    <t>Bekaert Hlohovec, a.s.</t>
  </si>
  <si>
    <t>35750006</t>
  </si>
  <si>
    <t>VAJDA GROUP s. r. o.</t>
  </si>
  <si>
    <t>36194522</t>
  </si>
  <si>
    <t>AŽD SLOVAKIA a. s.</t>
  </si>
  <si>
    <t>35777885</t>
  </si>
  <si>
    <t>Hauerland spol. s r.o.</t>
  </si>
  <si>
    <t>35749474</t>
  </si>
  <si>
    <t>ThyssenKrupp Výťahy, s.r.o.</t>
  </si>
  <si>
    <t>00685321</t>
  </si>
  <si>
    <t>ICT ISTROCONTI, a.s.</t>
  </si>
  <si>
    <t>35797380</t>
  </si>
  <si>
    <t>SLOWIN Bratislava, spol. s r.o.</t>
  </si>
  <si>
    <t>31434347</t>
  </si>
  <si>
    <t>ENVI-GEOS Nitra, s.r.o.</t>
  </si>
  <si>
    <t>36540081</t>
  </si>
  <si>
    <t>BOVI - RENA, s.r.o.</t>
  </si>
  <si>
    <t>00308153</t>
  </si>
  <si>
    <t>Obec Lehota</t>
  </si>
  <si>
    <t>35743468</t>
  </si>
  <si>
    <t>Gratex International, a.s.</t>
  </si>
  <si>
    <t>35792141</t>
  </si>
  <si>
    <t>ALISON Slovakia s.r.o.</t>
  </si>
  <si>
    <t>31373500</t>
  </si>
  <si>
    <t>Marlink s.r.o.</t>
  </si>
  <si>
    <t>35740141</t>
  </si>
  <si>
    <t>Den Braven SK s. r. o.</t>
  </si>
  <si>
    <t>44393326</t>
  </si>
  <si>
    <t>Merck Sharp &amp; Dohme, s.r.o.</t>
  </si>
  <si>
    <t>35702044</t>
  </si>
  <si>
    <t>PRINTEC SLOVAKIA, spol. s r.o.</t>
  </si>
  <si>
    <t>00679500</t>
  </si>
  <si>
    <t>BIS Slovensko s. r. o.</t>
  </si>
  <si>
    <t>35740655</t>
  </si>
  <si>
    <t>Eiffage Construction Slovenská republika, s. r. o.</t>
  </si>
  <si>
    <t>35874244</t>
  </si>
  <si>
    <t>ADASTRA, s.r.o.</t>
  </si>
  <si>
    <t>17312001</t>
  </si>
  <si>
    <t>MEDITRADE spol. s r.o.</t>
  </si>
  <si>
    <t>36832715</t>
  </si>
  <si>
    <t>GastroNet a.s.</t>
  </si>
  <si>
    <t>44747331</t>
  </si>
  <si>
    <t>3070, a.s.</t>
  </si>
  <si>
    <t>35903414</t>
  </si>
  <si>
    <t>Möbelix SK, s. r. o.</t>
  </si>
  <si>
    <t>31343988</t>
  </si>
  <si>
    <t>TESCOMA s.r.o.</t>
  </si>
  <si>
    <t>36425672</t>
  </si>
  <si>
    <t>Odbytové družstvo sever, družstvo</t>
  </si>
  <si>
    <t>45486719</t>
  </si>
  <si>
    <t>EDART s. r. o.</t>
  </si>
  <si>
    <t>31412572</t>
  </si>
  <si>
    <t>MILSY a.s.</t>
  </si>
  <si>
    <t>34152024</t>
  </si>
  <si>
    <t>NOVESTA, a.s.</t>
  </si>
  <si>
    <t>31412106</t>
  </si>
  <si>
    <t>CEMMAC a.s.</t>
  </si>
  <si>
    <t>36454788</t>
  </si>
  <si>
    <t>SLOVPOS,  a.s.</t>
  </si>
  <si>
    <t>34145311</t>
  </si>
  <si>
    <t>UNIQA Group Service Center Slovakia, spol. s r.o.</t>
  </si>
  <si>
    <t>00156906</t>
  </si>
  <si>
    <t>Slovenská inšpekcia životného prostredia</t>
  </si>
  <si>
    <t>00358011</t>
  </si>
  <si>
    <t>Zoologická záhrada Bojnice</t>
  </si>
  <si>
    <t>34151931</t>
  </si>
  <si>
    <t>GRANEX Slovakia, spol. s r.o.</t>
  </si>
  <si>
    <t>36866865</t>
  </si>
  <si>
    <t>Allexis s. r. o.</t>
  </si>
  <si>
    <t>36077429</t>
  </si>
  <si>
    <t>Bratislavská akademická spoločnosť - Paneurópska univerzita n.o.</t>
  </si>
  <si>
    <t>31359884</t>
  </si>
  <si>
    <t>KONE s.r.o.</t>
  </si>
  <si>
    <t>47577321</t>
  </si>
  <si>
    <t>AutoCon spol. s r. o.</t>
  </si>
  <si>
    <t>36651311</t>
  </si>
  <si>
    <t>LAMA SK s.r.o.</t>
  </si>
  <si>
    <t>36393215</t>
  </si>
  <si>
    <t>Intech Group EU s.r.o.</t>
  </si>
  <si>
    <t>44570554</t>
  </si>
  <si>
    <t>AGB GROUP s.r.o.</t>
  </si>
  <si>
    <t>36289833</t>
  </si>
  <si>
    <t>Atlas Copco s. r. o.</t>
  </si>
  <si>
    <t>36176516</t>
  </si>
  <si>
    <t>IMBIZ s.r.o.</t>
  </si>
  <si>
    <t>36379158</t>
  </si>
  <si>
    <t>VEREX HOLDING, a.s.</t>
  </si>
  <si>
    <t>47244194</t>
  </si>
  <si>
    <t>Synot W, a.s.</t>
  </si>
  <si>
    <t>36061701</t>
  </si>
  <si>
    <t>Národný bezpečnostný úrad</t>
  </si>
  <si>
    <t>44921101</t>
  </si>
  <si>
    <t>Deutsche Telekom Services Europe Slovakia s.r.o.</t>
  </si>
  <si>
    <t>31441751</t>
  </si>
  <si>
    <t>AGROSERVIS spol. s r.o.</t>
  </si>
  <si>
    <t>34146806</t>
  </si>
  <si>
    <t>REGINA IMPORT, s.r.o.</t>
  </si>
  <si>
    <t>35928999</t>
  </si>
  <si>
    <t>FARMSYSTEMS s.r.o.</t>
  </si>
  <si>
    <t>36527726</t>
  </si>
  <si>
    <t>SLOVKLIMA DEIMOS, s.r.o.</t>
  </si>
  <si>
    <t>36718611</t>
  </si>
  <si>
    <t>Peikko Slovakia s.r.o.</t>
  </si>
  <si>
    <t>34139303</t>
  </si>
  <si>
    <t>Semecs, s.r.o.</t>
  </si>
  <si>
    <t>36525804</t>
  </si>
  <si>
    <t>STAVEX Nitra, spol. s r.o.</t>
  </si>
  <si>
    <t>36526185</t>
  </si>
  <si>
    <t>ViOn, a.s.</t>
  </si>
  <si>
    <t>35800399</t>
  </si>
  <si>
    <t>Nidec Global Appliance Slovakia s.r.o.</t>
  </si>
  <si>
    <t>00151653</t>
  </si>
  <si>
    <t>Slovenská sporiteľňa, a.s.</t>
  </si>
  <si>
    <t>36403008</t>
  </si>
  <si>
    <t>Stredoslovenská energetika, a.s.</t>
  </si>
  <si>
    <t>36331171</t>
  </si>
  <si>
    <t>B.T. Transport s.r.o.</t>
  </si>
  <si>
    <t>31637051</t>
  </si>
  <si>
    <t>Mondi SCP, a.s.</t>
  </si>
  <si>
    <t>36391000</t>
  </si>
  <si>
    <t>DOXX- Stravné lístky, spol. s r.o.</t>
  </si>
  <si>
    <t>47759097</t>
  </si>
  <si>
    <t>SZRB Asset Management, a.s.</t>
  </si>
  <si>
    <t>36157031</t>
  </si>
  <si>
    <t>Ing. Norbert Fassinger - NOFA</t>
  </si>
  <si>
    <t>36510068</t>
  </si>
  <si>
    <t>FOREVER, s.r.o.</t>
  </si>
  <si>
    <t>31444873</t>
  </si>
  <si>
    <t>MARKÍZA - SLOVAKIA, spol. s r.o.</t>
  </si>
  <si>
    <t>35829052</t>
  </si>
  <si>
    <t>Slovenské elektrárne, a.s.</t>
  </si>
  <si>
    <t>47170981</t>
  </si>
  <si>
    <t>Value Transformation Services ? organizačná zložka podniku zahraničnej osoby</t>
  </si>
  <si>
    <t>37861298</t>
  </si>
  <si>
    <t>Nitriansky samosprávny kraj</t>
  </si>
  <si>
    <t>00308307</t>
  </si>
  <si>
    <t>Mesto Nitra</t>
  </si>
  <si>
    <t>47420863</t>
  </si>
  <si>
    <t>ITT Nitra s.r.o.</t>
  </si>
  <si>
    <t>36623199</t>
  </si>
  <si>
    <t>Starohorská vinárska spoločnosť, družstvo</t>
  </si>
  <si>
    <t>46170740</t>
  </si>
  <si>
    <t>UNIX Auto s. r. o.</t>
  </si>
  <si>
    <t>31600891</t>
  </si>
  <si>
    <t>ENVIGEO, a,s,</t>
  </si>
  <si>
    <t>42177383</t>
  </si>
  <si>
    <t>Cirkevná servisná spoločnosť</t>
  </si>
  <si>
    <t>31562175</t>
  </si>
  <si>
    <t>PORFIX - pórobetón, a.s.</t>
  </si>
  <si>
    <t>37408984</t>
  </si>
  <si>
    <t>Jozef Jelšík - Promogroup</t>
  </si>
  <si>
    <t>31570895</t>
  </si>
  <si>
    <t>PHARMACOPOLA s.r.o.</t>
  </si>
  <si>
    <t>00693511</t>
  </si>
  <si>
    <t>SLOVAKTUAL s.r.o.</t>
  </si>
  <si>
    <t>36331881</t>
  </si>
  <si>
    <t>sales field force s.r.o.</t>
  </si>
  <si>
    <t>31572201</t>
  </si>
  <si>
    <t>HERMES s.r.o.</t>
  </si>
  <si>
    <t>47687461</t>
  </si>
  <si>
    <t>KFTS s. r. o.</t>
  </si>
  <si>
    <t>17839904</t>
  </si>
  <si>
    <t>Martin Kolík - AUTODOPRAVA</t>
  </si>
  <si>
    <t>36768073</t>
  </si>
  <si>
    <t>SECURITAS SK, s.r.o.</t>
  </si>
  <si>
    <t>31637141</t>
  </si>
  <si>
    <t>TROST AUTO SERVICE TECHNIK s.r.o.</t>
  </si>
  <si>
    <t>31579710</t>
  </si>
  <si>
    <t>Zeppelin SK s.r.o.</t>
  </si>
  <si>
    <t>36032930</t>
  </si>
  <si>
    <t>Confal a.s.</t>
  </si>
  <si>
    <t>31623158</t>
  </si>
  <si>
    <t>STAPPERT SLOVENSKO a.s.</t>
  </si>
  <si>
    <t>35914921</t>
  </si>
  <si>
    <t>Železničná spoločnosť Cargo Slovakia, a.s.</t>
  </si>
  <si>
    <t>Slovak Parcel Service, s.r.o.</t>
  </si>
  <si>
    <t>36394238</t>
  </si>
  <si>
    <t>Loomis SK, a.s.</t>
  </si>
  <si>
    <t>FORZA, a.s.</t>
  </si>
  <si>
    <t>Penta Investments, s.r.o.</t>
  </si>
  <si>
    <t>31720986</t>
  </si>
  <si>
    <t>SPOJSTAV spol. s r.o. Spišská Nová Ves</t>
  </si>
  <si>
    <t>00695599</t>
  </si>
  <si>
    <t>ELCOM, s.r.o., Prešov</t>
  </si>
  <si>
    <t>31678343</t>
  </si>
  <si>
    <t>STD DONIVO a.s., odštepný závod</t>
  </si>
  <si>
    <t>31678581</t>
  </si>
  <si>
    <t>BELLE EXPORT - IMPORT, s.r.o. Košice</t>
  </si>
  <si>
    <t>31612989</t>
  </si>
  <si>
    <t>CORA GEO, s.r.o.</t>
  </si>
  <si>
    <t>36718556</t>
  </si>
  <si>
    <t>STABILITA, d.d.s., a.s.</t>
  </si>
  <si>
    <t>36706311</t>
  </si>
  <si>
    <t>VSK MINERAL s.r.o.</t>
  </si>
  <si>
    <t>44201010</t>
  </si>
  <si>
    <t>CROWN Bevcan Slovakia s.r.o.</t>
  </si>
  <si>
    <t>31729541</t>
  </si>
  <si>
    <t>Spiš Market, spol. s r.o.</t>
  </si>
  <si>
    <t>36185353</t>
  </si>
  <si>
    <t>SZILCAR s.r.o.</t>
  </si>
  <si>
    <t>47231271</t>
  </si>
  <si>
    <t>RegioJet a. s.</t>
  </si>
  <si>
    <t>36054666</t>
  </si>
  <si>
    <t>SAD Zvolen, a.s.</t>
  </si>
  <si>
    <t>47545674</t>
  </si>
  <si>
    <t>NUBIUM, s. r. o.</t>
  </si>
  <si>
    <t>36611131</t>
  </si>
  <si>
    <t>Mestská dopravná spoločnosť, a.s.</t>
  </si>
  <si>
    <t>36410250</t>
  </si>
  <si>
    <t>ORIWIN, s.r.o.</t>
  </si>
  <si>
    <t>00653080</t>
  </si>
  <si>
    <t>VAW, spol. s r.o.</t>
  </si>
  <si>
    <t>00634816</t>
  </si>
  <si>
    <t>Daňové riaditeľstvo Slovenskej republiky</t>
  </si>
  <si>
    <t>31674160</t>
  </si>
  <si>
    <t>STEEL TRANS s.r.o.</t>
  </si>
  <si>
    <t>36210382</t>
  </si>
  <si>
    <t>TMS International Košice s.r.o.</t>
  </si>
  <si>
    <t>36482889</t>
  </si>
  <si>
    <t>CEMM THOME SK, spol. s r.o.</t>
  </si>
  <si>
    <t>36204081</t>
  </si>
  <si>
    <t>KASA ZÁLOŽNÁ akciová spoločnosť</t>
  </si>
  <si>
    <t>17078202</t>
  </si>
  <si>
    <t>Správa mestskej zelene v Košiciach, príspevková organizácia</t>
  </si>
  <si>
    <t>17069238</t>
  </si>
  <si>
    <t>Rada odborov OZ KOVO U.S. Steel Košice</t>
  </si>
  <si>
    <t>31337091</t>
  </si>
  <si>
    <t>SLOVENERGO spol. s r.o.</t>
  </si>
  <si>
    <t>36174777</t>
  </si>
  <si>
    <t>TORY CONSULTING, a.s.</t>
  </si>
  <si>
    <t>36658448</t>
  </si>
  <si>
    <t>AGEL SK a.s.</t>
  </si>
  <si>
    <t>36778150</t>
  </si>
  <si>
    <t>AG PLAY, s.r.o.</t>
  </si>
  <si>
    <t>36244490</t>
  </si>
  <si>
    <t>DEMA Senica, a.s.</t>
  </si>
  <si>
    <t>36275522</t>
  </si>
  <si>
    <t>BK, a.s.</t>
  </si>
  <si>
    <t>36280127</t>
  </si>
  <si>
    <t>HOREZZA, a.s.</t>
  </si>
  <si>
    <t>34120220</t>
  </si>
  <si>
    <t>ŠKODA SLOVAKIA, a.s</t>
  </si>
  <si>
    <t>34103201</t>
  </si>
  <si>
    <t>PROFIS, spol. s r.o.</t>
  </si>
  <si>
    <t>30845572</t>
  </si>
  <si>
    <t>Ministerstvo obrany Slovenskej republiky</t>
  </si>
  <si>
    <t>36631124</t>
  </si>
  <si>
    <t>Slovenská pošta, a.s.</t>
  </si>
  <si>
    <t>37915568</t>
  </si>
  <si>
    <t>Správa ciest Trenčianskeho samosprávneho kraja, príspevková organizácia</t>
  </si>
  <si>
    <t>35913061</t>
  </si>
  <si>
    <t>YURA Corporation Slovakia, s. r. o.</t>
  </si>
  <si>
    <t>36422991</t>
  </si>
  <si>
    <t>MSM Martin, s.r.o.</t>
  </si>
  <si>
    <t>46546707</t>
  </si>
  <si>
    <t>spicybrown s. r. o.</t>
  </si>
  <si>
    <t>00679291</t>
  </si>
  <si>
    <t>A R A V E R a. s.</t>
  </si>
  <si>
    <t>35968486</t>
  </si>
  <si>
    <t>SLOVINTEGRA ENERGY, a.s.</t>
  </si>
  <si>
    <t>34145656</t>
  </si>
  <si>
    <t>NEPHRO s.r.o.</t>
  </si>
  <si>
    <t>31340822</t>
  </si>
  <si>
    <t>TIPOS, národná lotériová spoločnosť,a.s.</t>
  </si>
  <si>
    <t>00634794</t>
  </si>
  <si>
    <t>Alcatel-Lucent Slovakia a.s.</t>
  </si>
  <si>
    <t>35840463</t>
  </si>
  <si>
    <t>Ernst &amp; Young Slovakia, spol. s r.o.</t>
  </si>
  <si>
    <t>35739347</t>
  </si>
  <si>
    <t>PricewaterhouseCoopers Slovensko, s.r.o.</t>
  </si>
  <si>
    <t>48129178</t>
  </si>
  <si>
    <t>Deutsche Telekom Pan-Net s.r.o.</t>
  </si>
  <si>
    <t>31642063</t>
  </si>
  <si>
    <t>ISCAR SR s.r.o.</t>
  </si>
  <si>
    <t>27386732</t>
  </si>
  <si>
    <t>BOHEMIA ENERGY entity s.r.o.</t>
  </si>
  <si>
    <t>36390151</t>
  </si>
  <si>
    <t>OMOSS spol. s r.o.</t>
  </si>
  <si>
    <t>47373288</t>
  </si>
  <si>
    <t>IS - Industry Solutions, a.s.</t>
  </si>
  <si>
    <t>45378304</t>
  </si>
  <si>
    <t>PRAGA Cars s.r.o.</t>
  </si>
  <si>
    <t>45983259</t>
  </si>
  <si>
    <t>Otolift Schodiskové výťahy, s. r. o.</t>
  </si>
  <si>
    <t>31105513</t>
  </si>
  <si>
    <t>DIPEX spol. s r. o.</t>
  </si>
  <si>
    <t>36237418</t>
  </si>
  <si>
    <t>LIGAND, s.r.o.</t>
  </si>
  <si>
    <t>31735657</t>
  </si>
  <si>
    <t>KÁVOMATY, s.r.o.</t>
  </si>
  <si>
    <t>36663662</t>
  </si>
  <si>
    <t>Lear Corporation Seating Slovakia s.r.o.</t>
  </si>
  <si>
    <t>36195103</t>
  </si>
  <si>
    <t>EJOT SLOVAKIA, s.r.o.</t>
  </si>
  <si>
    <t>36449211</t>
  </si>
  <si>
    <t>FABORY - SLOVAKIA, s.r.o.</t>
  </si>
  <si>
    <t>00696951</t>
  </si>
  <si>
    <t>ICOS, a.s. Košice</t>
  </si>
  <si>
    <t>36494232</t>
  </si>
  <si>
    <t>XAWAX personálni servis s.r.o.</t>
  </si>
  <si>
    <t>31683789</t>
  </si>
  <si>
    <t>NOVES okná, a.s.</t>
  </si>
  <si>
    <t>36582115</t>
  </si>
  <si>
    <t>Paciga s.r.o.</t>
  </si>
  <si>
    <t>35758601</t>
  </si>
  <si>
    <t>ITALMARKET SLOVAKIA, a.s.</t>
  </si>
  <si>
    <t>31821979</t>
  </si>
  <si>
    <t>Vysoká škola zdravotníctva a sociálnej práce Sv. Alžbety, n.o.</t>
  </si>
  <si>
    <t>17335248</t>
  </si>
  <si>
    <t>K O F T , s. r. o.</t>
  </si>
  <si>
    <t>35782943</t>
  </si>
  <si>
    <t>Red Bull Slovensko, s.r.o.</t>
  </si>
  <si>
    <t>00151491</t>
  </si>
  <si>
    <t>Kancelária Národnej rady Slovenskej republiky</t>
  </si>
  <si>
    <t>Amendment to FC AUTO - IMPEX spol. s r.o.</t>
  </si>
  <si>
    <t>DODATOK RZ</t>
  </si>
  <si>
    <t>PROSIM, DOPLN SPRAVNE UDAJE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</si>
</sst>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0"/>
      <color theme="1"/>
      <name val="Tele-GroteskNor"/>
      <family val="2"/>
      <charset val="238"/>
    </font>
    <font>
      <b/>
      <sz val="10"/>
      <name val="Tele-GroteskNor"/>
      <charset val="238"/>
    </font>
    <font>
      <b/>
      <sz val="10"/>
      <color theme="1"/>
      <name val="Tele-GroteskNor"/>
      <charset val="238"/>
    </font>
    <font>
      <b/>
      <sz val="9"/>
      <color theme="1"/>
      <name val="Segoe UI"/>
      <family val="2"/>
      <charset val="1"/>
    </font>
    <font>
      <sz val="8"/>
      <color rgb="FF454545"/>
      <name val="Andale WT"/>
      <family val="2"/>
    </font>
    <font>
      <sz val="8"/>
      <color theme="1"/>
      <name val="Andale WT"/>
      <family val="2"/>
    </font>
    <font>
      <sz val="10"/>
      <color theme="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medium">
        <color rgb="FFE2E2E2"/>
      </left>
      <right style="medium">
        <color rgb="FFE2E2E2"/>
      </right>
      <top style="medium">
        <color rgb="FFE2E2E2"/>
      </top>
      <bottom style="medium">
        <color rgb="FFE2E2E2"/>
      </bottom>
      <diagonal/>
    </border>
  </borders>
  <cellStyleXfs count="2">
    <xf numFmtId="0" fontId="0" fillId="0" borderId="0"/>
    <xf numFmtId="0" fontId="6" fillId="0" borderId="0"/>
  </cellStyleXfs>
  <cellXfs count="36">
    <xf numFmtId="0" fontId="0" fillId="0" borderId="0" xfId="0"/>
    <xf numFmtId="0" fontId="3" fillId="0" borderId="0" xfId="0" applyFont="1"/>
    <xf numFmtId="1" fontId="3" fillId="2" borderId="0" xfId="0" applyNumberFormat="1" applyFont="1" applyFill="1"/>
    <xf numFmtId="14" fontId="3" fillId="3" borderId="0" xfId="0" applyNumberFormat="1" applyFont="1" applyFill="1" applyAlignment="1">
      <alignment horizontal="left"/>
    </xf>
    <xf numFmtId="14" fontId="0" fillId="0" borderId="0" xfId="0" applyNumberFormat="1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1" xfId="0" applyNumberForma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0" xfId="0" applyFill="1" applyBorder="1"/>
    <xf numFmtId="0" fontId="4" fillId="0" borderId="0" xfId="0" applyFont="1" applyFill="1" applyBorder="1" applyAlignment="1">
      <alignment horizontal="left" vertical="top"/>
    </xf>
    <xf numFmtId="14" fontId="4" fillId="0" borderId="0" xfId="0" applyNumberFormat="1" applyFont="1" applyFill="1" applyBorder="1" applyAlignment="1">
      <alignment horizontal="left" vertical="top"/>
    </xf>
    <xf numFmtId="0" fontId="0" fillId="0" borderId="1" xfId="0" applyBorder="1"/>
    <xf numFmtId="14" fontId="5" fillId="0" borderId="0" xfId="0" applyNumberFormat="1" applyFont="1" applyFill="1" applyBorder="1" applyAlignment="1">
      <alignment horizontal="left" vertical="top"/>
    </xf>
    <xf numFmtId="14" fontId="0" fillId="0" borderId="0" xfId="0" applyNumberFormat="1" applyAlignment="1">
      <alignment horizontal="right"/>
    </xf>
    <xf numFmtId="0" fontId="4" fillId="0" borderId="0" xfId="1" applyFont="1" applyFill="1" applyBorder="1" applyAlignment="1">
      <alignment horizontal="left" vertical="top"/>
    </xf>
    <xf numFmtId="1" fontId="3" fillId="4" borderId="0" xfId="0" applyNumberFormat="1" applyFont="1" applyFill="1" applyAlignment="1">
      <alignment horizontal="center"/>
    </xf>
    <xf numFmtId="0" fontId="0" fillId="4" borderId="0" xfId="0" applyFill="1" applyAlignment="1">
      <alignment horizontal="center"/>
    </xf>
    <xf numFmtId="1" fontId="1" fillId="4" borderId="0" xfId="0" applyNumberFormat="1" applyFont="1" applyFill="1" applyAlignment="1">
      <alignment horizontal="center"/>
    </xf>
    <xf numFmtId="1" fontId="0" fillId="4" borderId="0" xfId="0" applyNumberFormat="1" applyFill="1" applyAlignment="1">
      <alignment horizontal="center"/>
    </xf>
    <xf numFmtId="0" fontId="0" fillId="0" borderId="0" xfId="0" applyBorder="1"/>
    <xf numFmtId="0" fontId="2" fillId="0" borderId="0" xfId="0" applyFont="1"/>
    <xf numFmtId="14" fontId="0" fillId="0" borderId="0" xfId="0" applyNumberFormat="1" applyFill="1" applyBorder="1" applyAlignment="1">
      <alignment horizontal="left"/>
    </xf>
    <xf numFmtId="14" fontId="0" fillId="0" borderId="0" xfId="0" applyNumberFormat="1"/>
    <xf numFmtId="0" fontId="0" fillId="0" borderId="0" xfId="0" pivotButton="1"/>
    <xf numFmtId="0" fontId="0" fillId="0" borderId="0" xfId="0" applyNumberFormat="1"/>
    <xf numFmtId="14" fontId="3" fillId="2" borderId="0" xfId="0" applyNumberFormat="1" applyFont="1" applyFill="1"/>
    <xf numFmtId="1" fontId="0" fillId="0" borderId="0" xfId="0" applyNumberFormat="1"/>
    <xf numFmtId="14" fontId="3" fillId="5" borderId="0" xfId="0" applyNumberFormat="1" applyFont="1" applyFill="1" applyAlignment="1">
      <alignment horizontal="left"/>
    </xf>
    <xf numFmtId="0" fontId="0" fillId="0" borderId="0" xfId="0" applyFill="1"/>
    <xf numFmtId="0" fontId="3" fillId="0" borderId="0" xfId="0" applyFont="1" applyFill="1"/>
    <xf numFmtId="0" fontId="0" fillId="0" borderId="1" xfId="0" applyFill="1" applyBorder="1"/>
    <xf numFmtId="0" fontId="1" fillId="5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</cellXfs>
  <cellStyles count="2">
    <cellStyle name="Normálne" xfId="0" builtinId="0"/>
    <cellStyle name="Normálne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pivotCacheDefinition" Target="pivotCache/pivotCacheDefinition2.xml"/><Relationship Id="rId89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connections" Target="connection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heetMetadata" Target="metadata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pivotCacheDefinition" Target="pivotCache/pivotCacheDefinition3.xml"/><Relationship Id="rId9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pivotCacheDefinition" Target="pivotCache/pivotCacheDefinition1.xml"/><Relationship Id="rId88" Type="http://schemas.openxmlformats.org/officeDocument/2006/relationships/styles" Target="styles.xml"/><Relationship Id="rId91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Molcanyova Katarina" refreshedDate="43076.47344386574" backgroundQuery="1" createdVersion="5" refreshedVersion="5" minRefreshableVersion="3" recordCount="0" supportSubquery="1" supportAdvancedDrill="1">
  <cacheSource type="external" connectionId="1"/>
  <cacheFields count="2">
    <cacheField name="[Measures].[Počet DODATOKNOVA RZ]" caption="Počet DODATOKNOVA RZ" numFmtId="0" hierarchy="9" level="32767"/>
    <cacheField name="[Measures].[Odlišný počet EMPLOYEE_NAME]" caption="Odlišný počet EMPLOYEE_NAME" numFmtId="0" hierarchy="11" level="32767"/>
  </cacheFields>
  <cacheHierarchies count="14">
    <cacheHierarchy uniqueName="[Rozsah].[EMAIL]" caption="EMAIL" attribute="1" defaultMemberUniqueName="[Rozsah].[EMAIL].[All]" allUniqueName="[Rozsah].[EMAIL].[All]" dimensionUniqueName="[Rozsah]" displayFolder="" count="0" memberValueDatatype="130" unbalanced="0"/>
    <cacheHierarchy uniqueName="[Rozsah].[DODATOK/NOVA RZ]" caption="DODATOK/NOVA RZ" attribute="1" defaultMemberUniqueName="[Rozsah].[DODATOK/NOVA RZ].[All]" allUniqueName="[Rozsah].[DODATOK/NOVA RZ].[All]" dimensionUniqueName="[Rozsah]" displayFolder="" count="0" memberValueDatatype="130" unbalanced="0"/>
    <cacheHierarchy uniqueName="[Rozsah].[FRAME_CONTRACT_ID]" caption="FRAME_CONTRACT_ID" attribute="1" defaultMemberUniqueName="[Rozsah].[FRAME_CONTRACT_ID].[All]" allUniqueName="[Rozsah].[FRAME_CONTRACT_ID].[All]" dimensionUniqueName="[Rozsah]" displayFolder="" count="0" memberValueDatatype="130" unbalanced="0"/>
    <cacheHierarchy uniqueName="[Rozsah].[TITLE]" caption="TITLE" attribute="1" defaultMemberUniqueName="[Rozsah].[TITLE].[All]" allUniqueName="[Rozsah].[TITLE].[All]" dimensionUniqueName="[Rozsah]" displayFolder="" count="0" memberValueDatatype="130" unbalanced="0"/>
    <cacheHierarchy uniqueName="[Rozsah].[COMPANY_REG_NO]" caption="COMPANY_REG_NO" attribute="1" defaultMemberUniqueName="[Rozsah].[COMPANY_REG_NO].[All]" allUniqueName="[Rozsah].[COMPANY_REG_NO].[All]" dimensionUniqueName="[Rozsah]" displayFolder="" count="0" memberValueDatatype="130" unbalanced="0"/>
    <cacheHierarchy uniqueName="[Rozsah].[COMPANY_NAME]" caption="COMPANY_NAME" attribute="1" defaultMemberUniqueName="[Rozsah].[COMPANY_NAME].[All]" allUniqueName="[Rozsah].[COMPANY_NAME].[All]" dimensionUniqueName="[Rozsah]" displayFolder="" count="0" memberValueDatatype="130" unbalanced="0"/>
    <cacheHierarchy uniqueName="[Rozsah].[EMPLOYEE_NAME]" caption="EMPLOYEE_NAME" attribute="1" defaultMemberUniqueName="[Rozsah].[EMPLOYEE_NAME].[All]" allUniqueName="[Rozsah].[EMPLOYEE_NAME].[All]" dimensionUniqueName="[Rozsah]" displayFolder="" count="0" memberValueDatatype="130" unbalanced="0"/>
    <cacheHierarchy uniqueName="[Rozsah].[START_DATE_KEY]" caption="START_DATE_KEY" attribute="1" defaultMemberUniqueName="[Rozsah].[START_DATE_KEY].[All]" allUniqueName="[Rozsah].[START_DATE_KEY].[All]" dimensionUniqueName="[Rozsah]" displayFolder="" count="0" memberValueDatatype="130" unbalanced="0"/>
    <cacheHierarchy uniqueName="[Rozsah].[END_DATE_KEY]" caption="END_DATE_KEY" attribute="1" time="1" defaultMemberUniqueName="[Rozsah].[END_DATE_KEY].[All]" allUniqueName="[Rozsah].[END_DATE_KEY].[All]" dimensionUniqueName="[Rozsah]" displayFolder="" count="0" memberValueDatatype="7" unbalanced="0"/>
    <cacheHierarchy uniqueName="[Measures].[Počet DODATOKNOVA RZ]" caption="Počet DODATOKNOVA RZ" measure="1" displayFolder="" measureGroup="Rozsah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Počet EMPLOYEE_NAME]" caption="Počet EMPLOYEE_NAME" measure="1" displayFolder="" measureGroup="Rozsah" count="0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Odlišný počet EMPLOYEE_NAME]" caption="Odlišný počet EMPLOYEE_NAME" measure="1" displayFolder="" measureGroup="Rozsah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__XL_Count Rozsah]" caption="__XL_Count Rozsah" measure="1" displayFolder="" measureGroup="Rozsah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ozsah" uniqueName="[Rozsah]" caption="Rozsah"/>
  </dimensions>
  <measureGroups count="1">
    <measureGroup name="Rozsah" caption="Rozsah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Molcanyova Katarina" refreshedDate="43076.473445833333" backgroundQuery="1" createdVersion="5" refreshedVersion="5" minRefreshableVersion="3" recordCount="0" supportSubquery="1" supportAdvancedDrill="1">
  <cacheSource type="external" connectionId="1"/>
  <cacheFields count="2">
    <cacheField name="[Measures].[Počet DODATOKNOVA RZ]" caption="Počet DODATOKNOVA RZ" numFmtId="0" hierarchy="9" level="32767"/>
    <cacheField name="[Rozsah].[EMPLOYEE_NAME].[EMPLOYEE_NAME]" caption="EMPLOYEE_NAME" numFmtId="0" hierarchy="6" level="1">
      <sharedItems count="77">
        <s v="Agócs Gergely"/>
        <s v="Bajgart Václav"/>
        <s v="Balog Boris"/>
        <s v="Bánes Tomáš"/>
        <s v="Bartko Martin"/>
        <s v="Béreš Martin"/>
        <s v="Bratko Michal"/>
        <s v="Burdej Branislav"/>
        <s v="Černák Peter"/>
        <s v="Červeňan Martin"/>
        <s v="Dianová Alena"/>
        <s v="Dobrý Patrik"/>
        <s v="Domin Ján"/>
        <s v="Dubeňová Dominika"/>
        <s v="Duda Martin"/>
        <s v="Galánek Emil"/>
        <s v="Gálik Vladimír"/>
        <s v="Géc Branislav"/>
        <s v="Halada Michal"/>
        <s v="Halaj Marek"/>
        <s v="Havelková Jana"/>
        <s v="Horváth Jaroslav"/>
        <s v="Horváth Radoslav"/>
        <s v="Hrebiková Ivana"/>
        <s v="Hudecová Zuzana"/>
        <s v="Jáhn Róbert"/>
        <s v="Kadurová Alica"/>
        <s v="Kalakaj Stanislava"/>
        <s v="Kelecsényiová Marcela"/>
        <s v="Kiko Marián"/>
        <s v="Kling Roman"/>
        <s v="Kohút Vladimír"/>
        <s v="Košťál Miloš"/>
        <s v="Krejčíová Iveta"/>
        <s v="Krchňavá Miroslava"/>
        <s v="Krnčan Roman"/>
        <s v="Kubínová Eva"/>
        <s v="Kuňák Štefan"/>
        <s v="Kupka Ľubomír"/>
        <s v="Leňko Jozef"/>
        <s v="Löbb Jozef"/>
        <s v="Lukačovič Roman"/>
        <s v="Marčišovský Martin"/>
        <s v="Marečková Lenka"/>
        <s v="Michalik Branislav"/>
        <s v="Miklas Miroslav"/>
        <s v="Mikláš Šimon"/>
        <s v="Nemoga Tomáš"/>
        <s v="Olejník Ľubomír"/>
        <s v="Opremčák Štefan"/>
        <s v="Páleník Ľuboš"/>
        <s v="Peller Radovan"/>
        <s v="Petríček Michal"/>
        <s v="Polovka Peter"/>
        <s v="Potocký Miloš"/>
        <s v="Práger Pavol"/>
        <s v="Rábeková Renata"/>
        <s v="Rohoňová Barbora"/>
        <s v="Schellberger Michal"/>
        <s v="Schvarcz Ondrej"/>
        <s v="Soľár Peter"/>
        <s v="Šály Tibor"/>
        <s v="Ščepka Miroslav"/>
        <s v="Šimková Anna"/>
        <s v="Šimončič Ľubomír"/>
        <s v="Šimonová Monika"/>
        <s v="Škrovinová Erika"/>
        <s v="Štroffek Ján"/>
        <s v="Šubert Stanislav"/>
        <s v="Vanek Gabriel"/>
        <s v="Vavríková Mária"/>
        <s v="Vrtík Luděk"/>
        <s v="Záborská Ingrid"/>
        <s v="Zahoran Michal"/>
        <s v="Zakarovský Slavomír"/>
        <s v="Záni Marek"/>
        <s v="Zverbík Rastislav"/>
      </sharedItems>
    </cacheField>
  </cacheFields>
  <cacheHierarchies count="14">
    <cacheHierarchy uniqueName="[Rozsah].[EMAIL]" caption="EMAIL" attribute="1" defaultMemberUniqueName="[Rozsah].[EMAIL].[All]" allUniqueName="[Rozsah].[EMAIL].[All]" dimensionUniqueName="[Rozsah]" displayFolder="" count="0" memberValueDatatype="130" unbalanced="0"/>
    <cacheHierarchy uniqueName="[Rozsah].[DODATOK/NOVA RZ]" caption="DODATOK/NOVA RZ" attribute="1" defaultMemberUniqueName="[Rozsah].[DODATOK/NOVA RZ].[All]" allUniqueName="[Rozsah].[DODATOK/NOVA RZ].[All]" dimensionUniqueName="[Rozsah]" displayFolder="" count="0" memberValueDatatype="130" unbalanced="0"/>
    <cacheHierarchy uniqueName="[Rozsah].[FRAME_CONTRACT_ID]" caption="FRAME_CONTRACT_ID" attribute="1" defaultMemberUniqueName="[Rozsah].[FRAME_CONTRACT_ID].[All]" allUniqueName="[Rozsah].[FRAME_CONTRACT_ID].[All]" dimensionUniqueName="[Rozsah]" displayFolder="" count="0" memberValueDatatype="130" unbalanced="0"/>
    <cacheHierarchy uniqueName="[Rozsah].[TITLE]" caption="TITLE" attribute="1" defaultMemberUniqueName="[Rozsah].[TITLE].[All]" allUniqueName="[Rozsah].[TITLE].[All]" dimensionUniqueName="[Rozsah]" displayFolder="" count="0" memberValueDatatype="130" unbalanced="0"/>
    <cacheHierarchy uniqueName="[Rozsah].[COMPANY_REG_NO]" caption="COMPANY_REG_NO" attribute="1" defaultMemberUniqueName="[Rozsah].[COMPANY_REG_NO].[All]" allUniqueName="[Rozsah].[COMPANY_REG_NO].[All]" dimensionUniqueName="[Rozsah]" displayFolder="" count="0" memberValueDatatype="130" unbalanced="0"/>
    <cacheHierarchy uniqueName="[Rozsah].[COMPANY_NAME]" caption="COMPANY_NAME" attribute="1" defaultMemberUniqueName="[Rozsah].[COMPANY_NAME].[All]" allUniqueName="[Rozsah].[COMPANY_NAME].[All]" dimensionUniqueName="[Rozsah]" displayFolder="" count="0" memberValueDatatype="130" unbalanced="0"/>
    <cacheHierarchy uniqueName="[Rozsah].[EMPLOYEE_NAME]" caption="EMPLOYEE_NAME" attribute="1" defaultMemberUniqueName="[Rozsah].[EMPLOYEE_NAME].[All]" allUniqueName="[Rozsah].[EMPLOYEE_NAME].[All]" dimensionUniqueName="[Rozsah]" displayFolder="" count="2" memberValueDatatype="130" unbalanced="0">
      <fieldsUsage count="2">
        <fieldUsage x="-1"/>
        <fieldUsage x="1"/>
      </fieldsUsage>
    </cacheHierarchy>
    <cacheHierarchy uniqueName="[Rozsah].[START_DATE_KEY]" caption="START_DATE_KEY" attribute="1" defaultMemberUniqueName="[Rozsah].[START_DATE_KEY].[All]" allUniqueName="[Rozsah].[START_DATE_KEY].[All]" dimensionUniqueName="[Rozsah]" displayFolder="" count="0" memberValueDatatype="130" unbalanced="0"/>
    <cacheHierarchy uniqueName="[Rozsah].[END_DATE_KEY]" caption="END_DATE_KEY" attribute="1" time="1" defaultMemberUniqueName="[Rozsah].[END_DATE_KEY].[All]" allUniqueName="[Rozsah].[END_DATE_KEY].[All]" dimensionUniqueName="[Rozsah]" displayFolder="" count="0" memberValueDatatype="7" unbalanced="0"/>
    <cacheHierarchy uniqueName="[Measures].[Počet DODATOKNOVA RZ]" caption="Počet DODATOKNOVA RZ" measure="1" displayFolder="" measureGroup="Rozsah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Počet EMPLOYEE_NAME]" caption="Počet EMPLOYEE_NAME" measure="1" displayFolder="" measureGroup="Rozsah" count="0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Odlišný počet EMPLOYEE_NAME]" caption="Odlišný počet EMPLOYEE_NAME" measure="1" displayFolder="" measureGroup="Rozsah" count="0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__XL_Count Rozsah]" caption="__XL_Count Rozsah" measure="1" displayFolder="" measureGroup="Rozsah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ozsah" uniqueName="[Rozsah]" caption="Rozsah"/>
  </dimensions>
  <measureGroups count="1">
    <measureGroup name="Rozsah" caption="Rozsah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Molcanyova Katarina" refreshedDate="43076.473446759257" backgroundQuery="1" createdVersion="5" refreshedVersion="5" minRefreshableVersion="3" recordCount="0" supportSubquery="1" supportAdvancedDrill="1">
  <cacheSource type="external" connectionId="1"/>
  <cacheFields count="2">
    <cacheField name="[Measures].[Odlišný počet EMPLOYEE_NAME]" caption="Odlišný počet EMPLOYEE_NAME" numFmtId="0" hierarchy="11" level="32767"/>
    <cacheField name="[Rozsah].[DODATOK/NOVA RZ].[DODATOK/NOVA RZ]" caption="DODATOK/NOVA RZ" numFmtId="0" hierarchy="1" level="1">
      <sharedItems containsSemiMixedTypes="0" containsNonDate="0" containsString="0"/>
    </cacheField>
  </cacheFields>
  <cacheHierarchies count="14">
    <cacheHierarchy uniqueName="[Rozsah].[EMAIL]" caption="EMAIL" attribute="1" defaultMemberUniqueName="[Rozsah].[EMAIL].[All]" allUniqueName="[Rozsah].[EMAIL].[All]" dimensionUniqueName="[Rozsah]" displayFolder="" count="0" memberValueDatatype="130" unbalanced="0"/>
    <cacheHierarchy uniqueName="[Rozsah].[DODATOK/NOVA RZ]" caption="DODATOK/NOVA RZ" attribute="1" defaultMemberUniqueName="[Rozsah].[DODATOK/NOVA RZ].[All]" allUniqueName="[Rozsah].[DODATOK/NOVA RZ].[All]" dimensionUniqueName="[Rozsah]" displayFolder="" count="2" memberValueDatatype="130" unbalanced="0">
      <fieldsUsage count="2">
        <fieldUsage x="-1"/>
        <fieldUsage x="1"/>
      </fieldsUsage>
    </cacheHierarchy>
    <cacheHierarchy uniqueName="[Rozsah].[FRAME_CONTRACT_ID]" caption="FRAME_CONTRACT_ID" attribute="1" defaultMemberUniqueName="[Rozsah].[FRAME_CONTRACT_ID].[All]" allUniqueName="[Rozsah].[FRAME_CONTRACT_ID].[All]" dimensionUniqueName="[Rozsah]" displayFolder="" count="0" memberValueDatatype="130" unbalanced="0"/>
    <cacheHierarchy uniqueName="[Rozsah].[TITLE]" caption="TITLE" attribute="1" defaultMemberUniqueName="[Rozsah].[TITLE].[All]" allUniqueName="[Rozsah].[TITLE].[All]" dimensionUniqueName="[Rozsah]" displayFolder="" count="0" memberValueDatatype="130" unbalanced="0"/>
    <cacheHierarchy uniqueName="[Rozsah].[COMPANY_REG_NO]" caption="COMPANY_REG_NO" attribute="1" defaultMemberUniqueName="[Rozsah].[COMPANY_REG_NO].[All]" allUniqueName="[Rozsah].[COMPANY_REG_NO].[All]" dimensionUniqueName="[Rozsah]" displayFolder="" count="0" memberValueDatatype="130" unbalanced="0"/>
    <cacheHierarchy uniqueName="[Rozsah].[COMPANY_NAME]" caption="COMPANY_NAME" attribute="1" defaultMemberUniqueName="[Rozsah].[COMPANY_NAME].[All]" allUniqueName="[Rozsah].[COMPANY_NAME].[All]" dimensionUniqueName="[Rozsah]" displayFolder="" count="0" memberValueDatatype="130" unbalanced="0"/>
    <cacheHierarchy uniqueName="[Rozsah].[EMPLOYEE_NAME]" caption="EMPLOYEE_NAME" attribute="1" defaultMemberUniqueName="[Rozsah].[EMPLOYEE_NAME].[All]" allUniqueName="[Rozsah].[EMPLOYEE_NAME].[All]" dimensionUniqueName="[Rozsah]" displayFolder="" count="0" memberValueDatatype="130" unbalanced="0"/>
    <cacheHierarchy uniqueName="[Rozsah].[START_DATE_KEY]" caption="START_DATE_KEY" attribute="1" defaultMemberUniqueName="[Rozsah].[START_DATE_KEY].[All]" allUniqueName="[Rozsah].[START_DATE_KEY].[All]" dimensionUniqueName="[Rozsah]" displayFolder="" count="0" memberValueDatatype="130" unbalanced="0"/>
    <cacheHierarchy uniqueName="[Rozsah].[END_DATE_KEY]" caption="END_DATE_KEY" attribute="1" time="1" defaultMemberUniqueName="[Rozsah].[END_DATE_KEY].[All]" allUniqueName="[Rozsah].[END_DATE_KEY].[All]" dimensionUniqueName="[Rozsah]" displayFolder="" count="0" memberValueDatatype="7" unbalanced="0"/>
    <cacheHierarchy uniqueName="[Measures].[Počet DODATOKNOVA RZ]" caption="Počet DODATOKNOVA RZ" measure="1" displayFolder="" measureGroup="Rozsah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Počet EMPLOYEE_NAME]" caption="Počet EMPLOYEE_NAME" measure="1" displayFolder="" measureGroup="Rozsah" count="0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Odlišný počet EMPLOYEE_NAME]" caption="Odlišný počet EMPLOYEE_NAME" measure="1" displayFolder="" measureGroup="Rozsah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__XL_Count Rozsah]" caption="__XL_Count Rozsah" measure="1" displayFolder="" measureGroup="Rozsah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ozsah" uniqueName="[Rozsah]" caption="Rozsah"/>
  </dimensions>
  <measureGroups count="1">
    <measureGroup name="Rozsah" caption="Rozsah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Kontingenčná tabuľka1" cacheId="47" applyNumberFormats="0" applyBorderFormats="0" applyFontFormats="0" applyPatternFormats="0" applyAlignmentFormats="0" applyWidthHeightFormats="1" dataCaption="Hodnoty" updatedVersion="5" minRefreshableVersion="3" useAutoFormatting="1" subtotalHiddenItems="1" itemPrintTitles="1" createdVersion="5" indent="0" outline="1" outlineData="1" multipleFieldFilters="0">
  <location ref="G3:G4" firstHeaderRow="1" firstDataRow="1" firstDataCol="0" rowPageCount="1" colPageCount="1"/>
  <pivotFields count="2">
    <pivotField dataField="1" showAll="0"/>
    <pivotField axis="axisPage" allDrilled="1" showAll="0" dataSourceSort="1" defaultAttributeDrillState="1">
      <items count="1">
        <item t="default"/>
      </items>
    </pivotField>
  </pivotFields>
  <rowItems count="1">
    <i/>
  </rowItems>
  <colItems count="1">
    <i/>
  </colItems>
  <pageFields count="1">
    <pageField fld="1" hier="1" name="[Rozsah].[DODATOK/NOVA RZ].&amp;[NOVA RZ]" cap="NOVA RZ"/>
  </pageFields>
  <dataFields count="1">
    <dataField name="Odlišný počet EMPLOYEE_NAME" fld="0" subtotal="count" baseField="0" baseItem="1">
      <extLst>
        <ext xmlns:x15="http://schemas.microsoft.com/office/spreadsheetml/2010/11/main" uri="{FABC7310-3BB5-11E1-824E-6D434824019B}">
          <x15:dataField isCountDistinct="1"/>
        </ext>
      </extLst>
    </dataField>
  </dataFields>
  <pivotHierarchies count="1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odatok k RZ!$A$2:$H$504">
        <x15:activeTabTopLevelEntity name="[Rozsah]"/>
      </x15:pivotTableUISettings>
    </ext>
  </extLst>
</pivotTableDefinition>
</file>

<file path=xl/pivotTables/pivotTable2.xml><?xml version="1.0" encoding="utf-8"?>
<pivotTableDefinition xmlns="http://schemas.openxmlformats.org/spreadsheetml/2006/main" name="Kontingenčná tabuľka3" cacheId="46" applyNumberFormats="0" applyBorderFormats="0" applyFontFormats="0" applyPatternFormats="0" applyAlignmentFormats="0" applyWidthHeightFormats="1" dataCaption="Hodnoty" updatedVersion="5" minRefreshableVersion="3" useAutoFormatting="1" itemPrintTitles="1" createdVersion="5" indent="0" outline="1" outlineData="1" multipleFieldFilters="0">
  <location ref="A7:B85" firstHeaderRow="1" firstDataRow="1" firstDataCol="1"/>
  <pivotFields count="2">
    <pivotField dataField="1" showAll="0"/>
    <pivotField axis="axisRow" allDrilled="1" showAll="0" sortType="descending" defaultAttributeDrillState="1">
      <items count="7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1"/>
  </rowFields>
  <rowItems count="78">
    <i>
      <x v="57"/>
    </i>
    <i>
      <x v="6"/>
    </i>
    <i>
      <x v="33"/>
    </i>
    <i>
      <x v="42"/>
    </i>
    <i>
      <x v="8"/>
    </i>
    <i>
      <x v="65"/>
    </i>
    <i>
      <x v="50"/>
    </i>
    <i>
      <x v="47"/>
    </i>
    <i>
      <x v="74"/>
    </i>
    <i>
      <x v="26"/>
    </i>
    <i>
      <x v="60"/>
    </i>
    <i>
      <x v="11"/>
    </i>
    <i>
      <x v="3"/>
    </i>
    <i>
      <x v="66"/>
    </i>
    <i>
      <x v="68"/>
    </i>
    <i>
      <x v="58"/>
    </i>
    <i>
      <x v="10"/>
    </i>
    <i>
      <x v="32"/>
    </i>
    <i>
      <x v="56"/>
    </i>
    <i>
      <x v="44"/>
    </i>
    <i>
      <x v="71"/>
    </i>
    <i>
      <x v="37"/>
    </i>
    <i>
      <x v="73"/>
    </i>
    <i>
      <x v="30"/>
    </i>
    <i>
      <x v="52"/>
    </i>
    <i>
      <x v="59"/>
    </i>
    <i>
      <x v="72"/>
    </i>
    <i>
      <x v="75"/>
    </i>
    <i>
      <x v="35"/>
    </i>
    <i>
      <x v="21"/>
    </i>
    <i>
      <x v="19"/>
    </i>
    <i>
      <x v="38"/>
    </i>
    <i>
      <x v="23"/>
    </i>
    <i>
      <x v="28"/>
    </i>
    <i>
      <x v="24"/>
    </i>
    <i>
      <x v="12"/>
    </i>
    <i>
      <x v="53"/>
    </i>
    <i>
      <x v="40"/>
    </i>
    <i>
      <x v="63"/>
    </i>
    <i>
      <x v="41"/>
    </i>
    <i>
      <x v="25"/>
    </i>
    <i>
      <x v="45"/>
    </i>
    <i>
      <x v="48"/>
    </i>
    <i>
      <x v="43"/>
    </i>
    <i>
      <x v="39"/>
    </i>
    <i>
      <x v="69"/>
    </i>
    <i>
      <x v="31"/>
    </i>
    <i>
      <x v="36"/>
    </i>
    <i>
      <x v="34"/>
    </i>
    <i>
      <x v="13"/>
    </i>
    <i>
      <x v="2"/>
    </i>
    <i>
      <x v="67"/>
    </i>
    <i>
      <x v="20"/>
    </i>
    <i>
      <x v="7"/>
    </i>
    <i>
      <x v="9"/>
    </i>
    <i>
      <x v="49"/>
    </i>
    <i>
      <x v="18"/>
    </i>
    <i>
      <x v="54"/>
    </i>
    <i>
      <x v="29"/>
    </i>
    <i>
      <x v="4"/>
    </i>
    <i>
      <x v="14"/>
    </i>
    <i>
      <x v="22"/>
    </i>
    <i>
      <x v="27"/>
    </i>
    <i>
      <x/>
    </i>
    <i>
      <x v="16"/>
    </i>
    <i>
      <x v="61"/>
    </i>
    <i>
      <x v="1"/>
    </i>
    <i>
      <x v="62"/>
    </i>
    <i>
      <x v="70"/>
    </i>
    <i>
      <x v="17"/>
    </i>
    <i>
      <x v="55"/>
    </i>
    <i>
      <x v="64"/>
    </i>
    <i>
      <x v="46"/>
    </i>
    <i>
      <x v="51"/>
    </i>
    <i>
      <x v="76"/>
    </i>
    <i>
      <x v="15"/>
    </i>
    <i>
      <x v="5"/>
    </i>
    <i t="grand">
      <x/>
    </i>
  </rowItems>
  <colItems count="1">
    <i/>
  </colItems>
  <dataFields count="1">
    <dataField name="Počet DODATOK/NOVA RZ" fld="0" subtotal="count" baseField="0" baseItem="0"/>
  </dataFields>
  <pivotHierarchies count="1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odatok k RZ!$A$2:$H$504">
        <x15:activeTabTopLevelEntity name="[Rozsah]"/>
      </x15:pivotTableUISettings>
    </ext>
  </extLst>
</pivotTableDefinition>
</file>

<file path=xl/pivotTables/pivotTable3.xml><?xml version="1.0" encoding="utf-8"?>
<pivotTableDefinition xmlns="http://schemas.openxmlformats.org/spreadsheetml/2006/main" name="Kontingenčná tabuľka2" cacheId="45" applyNumberFormats="0" applyBorderFormats="0" applyFontFormats="0" applyPatternFormats="0" applyAlignmentFormats="0" applyWidthHeightFormats="1" dataCaption="Hodnoty" updatedVersion="5" minRefreshableVersion="3" useAutoFormatting="1" itemPrintTitles="1" createdVersion="5" indent="0" outline="1" outlineData="1" multipleFieldFilters="0">
  <location ref="A3:B4" firstHeaderRow="0" firstDataRow="1" firstDataCol="0"/>
  <pivotFields count="2">
    <pivotField dataField="1" showAll="0"/>
    <pivotField dataField="1" showAl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Počet DODATOK/NOVA RZ" fld="0" subtotal="count" baseField="0" baseItem="0"/>
    <dataField name="Odlišný počet EMPLOYEE_NAME" fld="1" subtotal="count" baseField="0" baseItem="1">
      <extLst>
        <ext xmlns:x15="http://schemas.microsoft.com/office/spreadsheetml/2010/11/main" uri="{FABC7310-3BB5-11E1-824E-6D434824019B}">
          <x15:dataField isCountDistinct="1"/>
        </ext>
      </extLst>
    </dataField>
  </dataFields>
  <pivotHierarchies count="1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odatok k RZ!$A$2:$H$504">
        <x15:activeTabTopLevelEntity name="[Rozsah]"/>
      </x15:pivotTableUISettings>
    </ext>
  </extLst>
</pivotTableDefinition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1"/>
  <dimension ref="A1:T288"/>
  <sheetViews>
    <sheetView workbookViewId="0">
      <selection activeCell="A2" sqref="A2"/>
    </sheetView>
  </sheetViews>
  <sheetFormatPr defaultRowHeight="12.75"/>
  <cols>
    <col min="1" max="1" width="31.83203125" bestFit="1" customWidth="1"/>
    <col min="2" max="2" width="23.5" bestFit="1" customWidth="1"/>
    <col min="3" max="3" width="25" style="29" bestFit="1" customWidth="1"/>
    <col min="4" max="4" width="62.6640625" bestFit="1" customWidth="1"/>
    <col min="5" max="5" width="22.33203125" bestFit="1" customWidth="1"/>
    <col min="6" max="6" width="36.6640625" customWidth="1"/>
    <col min="7" max="7" width="19.33203125" customWidth="1"/>
    <col min="8" max="8" width="17.83203125" bestFit="1" customWidth="1"/>
    <col min="9" max="9" width="15.5" bestFit="1" customWidth="1"/>
    <col min="10" max="10" width="26" bestFit="1" customWidth="1"/>
    <col min="11" max="11" width="13.83203125" style="19" hidden="1" customWidth="1"/>
    <col min="12" max="12" width="17.83203125" bestFit="1" customWidth="1"/>
    <col min="13" max="13" width="15.5" bestFit="1" customWidth="1"/>
    <col min="14" max="14" width="26" bestFit="1" customWidth="1"/>
    <col min="15" max="15" width="17.83203125" style="27" hidden="1" customWidth="1"/>
    <col min="16" max="16" width="15.5" hidden="1" customWidth="1"/>
    <col min="17" max="17" width="23.33203125" hidden="1" customWidth="1"/>
  </cols>
  <sheetData>
    <row r="1" spans="1:20">
      <c r="H1" s="34" t="s">
        <v>922</v>
      </c>
      <c r="I1" s="34"/>
      <c r="J1" s="34"/>
      <c r="K1" s="18" t="s">
        <v>484</v>
      </c>
      <c r="L1" s="33" t="s">
        <v>923</v>
      </c>
      <c r="M1" s="33"/>
      <c r="N1" s="33"/>
      <c r="O1" s="32" t="s">
        <v>931</v>
      </c>
      <c r="P1" s="32"/>
      <c r="Q1" s="32"/>
      <c r="R1" s="35" t="s">
        <v>1506</v>
      </c>
      <c r="S1" s="35"/>
      <c r="T1" s="35"/>
    </row>
    <row r="2" spans="1:20">
      <c r="A2" s="21" t="s">
        <v>767</v>
      </c>
      <c r="B2" s="21" t="s">
        <v>924</v>
      </c>
      <c r="C2" s="30" t="s">
        <v>0</v>
      </c>
      <c r="D2" s="1" t="s">
        <v>1</v>
      </c>
      <c r="E2" s="1" t="s">
        <v>932</v>
      </c>
      <c r="F2" s="1" t="s">
        <v>933</v>
      </c>
      <c r="G2" s="1" t="s">
        <v>766</v>
      </c>
      <c r="H2" s="26" t="s">
        <v>2</v>
      </c>
      <c r="I2" s="2" t="s">
        <v>3</v>
      </c>
      <c r="J2" s="2" t="s">
        <v>4</v>
      </c>
      <c r="K2" s="16" t="s">
        <v>929</v>
      </c>
      <c r="L2" s="3" t="s">
        <v>2</v>
      </c>
      <c r="M2" s="3" t="s">
        <v>3</v>
      </c>
      <c r="N2" s="3" t="s">
        <v>4</v>
      </c>
      <c r="O2" s="28" t="s">
        <v>2</v>
      </c>
      <c r="P2" s="28" t="s">
        <v>3</v>
      </c>
      <c r="Q2" s="28" t="s">
        <v>4</v>
      </c>
      <c r="R2" s="28" t="s">
        <v>2</v>
      </c>
      <c r="S2" s="28" t="s">
        <v>3</v>
      </c>
      <c r="T2" s="28" t="s">
        <v>4</v>
      </c>
    </row>
    <row r="3" spans="1:20">
      <c r="A3" t="s">
        <v>780</v>
      </c>
      <c r="B3" t="s">
        <v>934</v>
      </c>
      <c r="C3" s="29" t="s">
        <v>553</v>
      </c>
      <c r="D3" t="s">
        <v>554</v>
      </c>
      <c r="E3" t="s">
        <v>935</v>
      </c>
      <c r="F3" t="s">
        <v>936</v>
      </c>
      <c r="G3" t="s">
        <v>848</v>
      </c>
      <c r="H3" s="14" t="s">
        <v>203</v>
      </c>
      <c r="I3" s="23">
        <v>43584</v>
      </c>
      <c r="J3" s="27">
        <v>24</v>
      </c>
      <c r="K3" s="17">
        <f t="shared" ref="K3:K66" si="0">_xlfn.DAYS(L3,H3)</f>
        <v>-32</v>
      </c>
      <c r="L3" s="4">
        <v>42824</v>
      </c>
      <c r="M3" s="4">
        <v>43553</v>
      </c>
      <c r="N3" s="27">
        <v>24</v>
      </c>
    </row>
    <row r="4" spans="1:20">
      <c r="A4" t="s">
        <v>832</v>
      </c>
      <c r="B4" t="s">
        <v>1505</v>
      </c>
      <c r="C4" s="29" t="s">
        <v>477</v>
      </c>
      <c r="D4" t="s">
        <v>478</v>
      </c>
      <c r="E4" t="s">
        <v>937</v>
      </c>
      <c r="F4" t="s">
        <v>938</v>
      </c>
      <c r="G4" t="s">
        <v>900</v>
      </c>
      <c r="H4" s="14" t="s">
        <v>266</v>
      </c>
      <c r="I4" s="14">
        <v>43251</v>
      </c>
      <c r="J4" s="27">
        <v>24</v>
      </c>
      <c r="K4" s="19">
        <f t="shared" si="0"/>
        <v>30</v>
      </c>
      <c r="L4" s="4">
        <v>42552</v>
      </c>
      <c r="M4" s="4">
        <v>43281</v>
      </c>
      <c r="N4" s="27">
        <v>24</v>
      </c>
    </row>
    <row r="5" spans="1:20">
      <c r="A5" t="s">
        <v>772</v>
      </c>
      <c r="B5" t="s">
        <v>1505</v>
      </c>
      <c r="C5" s="29" t="s">
        <v>178</v>
      </c>
      <c r="D5" t="s">
        <v>179</v>
      </c>
      <c r="E5" t="s">
        <v>939</v>
      </c>
      <c r="F5" t="s">
        <v>940</v>
      </c>
      <c r="G5" t="s">
        <v>840</v>
      </c>
      <c r="H5" s="14" t="s">
        <v>180</v>
      </c>
      <c r="I5" s="23">
        <v>43677</v>
      </c>
      <c r="J5" s="27">
        <v>24</v>
      </c>
      <c r="K5" s="19">
        <f t="shared" si="0"/>
        <v>-31</v>
      </c>
      <c r="L5" s="4">
        <v>42917</v>
      </c>
      <c r="M5" s="4">
        <v>43646</v>
      </c>
      <c r="N5" s="27">
        <v>24</v>
      </c>
    </row>
    <row r="6" spans="1:20">
      <c r="A6" t="s">
        <v>772</v>
      </c>
      <c r="B6" t="s">
        <v>934</v>
      </c>
      <c r="C6" s="15" t="s">
        <v>529</v>
      </c>
      <c r="D6" s="15" t="s">
        <v>530</v>
      </c>
      <c r="E6" t="s">
        <v>941</v>
      </c>
      <c r="F6" t="s">
        <v>942</v>
      </c>
      <c r="G6" t="s">
        <v>840</v>
      </c>
      <c r="H6" s="14" t="s">
        <v>180</v>
      </c>
      <c r="I6" s="23">
        <v>43677</v>
      </c>
      <c r="J6" s="27">
        <v>24</v>
      </c>
      <c r="K6" s="17">
        <f t="shared" si="0"/>
        <v>31</v>
      </c>
      <c r="L6" s="4">
        <v>42979</v>
      </c>
      <c r="M6" s="4">
        <v>43708</v>
      </c>
      <c r="N6" s="27">
        <v>24</v>
      </c>
    </row>
    <row r="7" spans="1:20">
      <c r="A7" t="s">
        <v>830</v>
      </c>
      <c r="B7" t="s">
        <v>1505</v>
      </c>
      <c r="C7" s="29" t="s">
        <v>466</v>
      </c>
      <c r="D7" t="s">
        <v>467</v>
      </c>
      <c r="E7" t="s">
        <v>943</v>
      </c>
      <c r="F7" t="s">
        <v>944</v>
      </c>
      <c r="G7" t="s">
        <v>898</v>
      </c>
      <c r="H7" s="14" t="s">
        <v>140</v>
      </c>
      <c r="I7" s="14">
        <v>43281</v>
      </c>
      <c r="J7" s="27">
        <v>24</v>
      </c>
      <c r="K7" s="19">
        <f t="shared" si="0"/>
        <v>-91</v>
      </c>
      <c r="L7" s="4">
        <v>42461</v>
      </c>
      <c r="M7" s="4">
        <v>43190</v>
      </c>
      <c r="N7" s="27">
        <v>24</v>
      </c>
    </row>
    <row r="8" spans="1:20">
      <c r="A8" t="s">
        <v>830</v>
      </c>
      <c r="B8" t="s">
        <v>934</v>
      </c>
      <c r="C8" s="29" t="s">
        <v>741</v>
      </c>
      <c r="D8" t="s">
        <v>742</v>
      </c>
      <c r="E8" t="s">
        <v>945</v>
      </c>
      <c r="F8" t="s">
        <v>946</v>
      </c>
      <c r="G8" t="s">
        <v>898</v>
      </c>
      <c r="H8" s="14" t="s">
        <v>510</v>
      </c>
      <c r="I8" s="14">
        <v>43089</v>
      </c>
      <c r="J8" s="27">
        <v>24</v>
      </c>
      <c r="K8" s="17">
        <f t="shared" si="0"/>
        <v>11</v>
      </c>
      <c r="L8" s="4">
        <v>42370</v>
      </c>
      <c r="M8" s="4">
        <v>43089</v>
      </c>
      <c r="N8" s="27">
        <v>24</v>
      </c>
    </row>
    <row r="9" spans="1:20">
      <c r="A9" t="s">
        <v>830</v>
      </c>
      <c r="B9" t="s">
        <v>934</v>
      </c>
      <c r="C9" s="29" t="s">
        <v>508</v>
      </c>
      <c r="D9" t="s">
        <v>509</v>
      </c>
      <c r="E9" t="s">
        <v>947</v>
      </c>
      <c r="F9" t="s">
        <v>948</v>
      </c>
      <c r="G9" t="s">
        <v>898</v>
      </c>
      <c r="H9" s="14" t="s">
        <v>510</v>
      </c>
      <c r="I9" s="14">
        <v>43301</v>
      </c>
      <c r="J9" s="27">
        <v>19</v>
      </c>
      <c r="K9" s="17">
        <f t="shared" si="0"/>
        <v>11</v>
      </c>
      <c r="L9" s="4">
        <v>42370</v>
      </c>
      <c r="M9" s="6">
        <v>43301</v>
      </c>
      <c r="N9" s="27">
        <v>24</v>
      </c>
    </row>
    <row r="10" spans="1:20">
      <c r="A10" t="s">
        <v>830</v>
      </c>
      <c r="B10" t="s">
        <v>934</v>
      </c>
      <c r="C10" s="29" t="s">
        <v>743</v>
      </c>
      <c r="D10" t="s">
        <v>744</v>
      </c>
      <c r="E10" t="s">
        <v>949</v>
      </c>
      <c r="F10" t="s">
        <v>950</v>
      </c>
      <c r="G10" t="s">
        <v>898</v>
      </c>
      <c r="H10" s="14" t="s">
        <v>547</v>
      </c>
      <c r="I10" s="14">
        <v>43343</v>
      </c>
      <c r="J10" s="27">
        <v>24</v>
      </c>
      <c r="K10" s="17">
        <f t="shared" si="0"/>
        <v>-31</v>
      </c>
      <c r="L10" s="4">
        <v>42583</v>
      </c>
      <c r="M10" s="4">
        <v>43312</v>
      </c>
      <c r="N10" s="27">
        <v>24</v>
      </c>
    </row>
    <row r="11" spans="1:20">
      <c r="A11" t="s">
        <v>830</v>
      </c>
      <c r="B11" t="s">
        <v>934</v>
      </c>
      <c r="C11" s="29" t="s">
        <v>745</v>
      </c>
      <c r="D11" t="s">
        <v>746</v>
      </c>
      <c r="E11" t="s">
        <v>951</v>
      </c>
      <c r="F11" t="s">
        <v>952</v>
      </c>
      <c r="G11" t="s">
        <v>898</v>
      </c>
      <c r="H11" s="14" t="s">
        <v>67</v>
      </c>
      <c r="I11" s="14">
        <v>43433</v>
      </c>
      <c r="J11" s="27">
        <v>24</v>
      </c>
      <c r="K11" s="17">
        <f t="shared" si="0"/>
        <v>304</v>
      </c>
      <c r="L11" s="4">
        <v>43009</v>
      </c>
      <c r="M11" s="4">
        <v>43738</v>
      </c>
      <c r="N11" s="27">
        <v>24</v>
      </c>
    </row>
    <row r="12" spans="1:20">
      <c r="A12" t="s">
        <v>830</v>
      </c>
      <c r="B12" t="s">
        <v>934</v>
      </c>
      <c r="C12" s="29" t="s">
        <v>747</v>
      </c>
      <c r="D12" t="s">
        <v>748</v>
      </c>
      <c r="E12" t="s">
        <v>953</v>
      </c>
      <c r="F12" t="s">
        <v>954</v>
      </c>
      <c r="G12" t="s">
        <v>898</v>
      </c>
      <c r="H12" s="14" t="s">
        <v>749</v>
      </c>
      <c r="I12" s="14">
        <v>43725</v>
      </c>
      <c r="J12" s="27">
        <v>24</v>
      </c>
      <c r="K12" s="17">
        <f t="shared" si="0"/>
        <v>13</v>
      </c>
      <c r="L12" s="4">
        <v>43009</v>
      </c>
      <c r="M12" s="4">
        <v>43725</v>
      </c>
      <c r="N12" s="27">
        <v>24</v>
      </c>
    </row>
    <row r="13" spans="1:20">
      <c r="A13" t="s">
        <v>800</v>
      </c>
      <c r="B13" t="s">
        <v>1505</v>
      </c>
      <c r="C13" s="29" t="s">
        <v>285</v>
      </c>
      <c r="D13" t="s">
        <v>286</v>
      </c>
      <c r="E13" t="s">
        <v>955</v>
      </c>
      <c r="F13" t="s">
        <v>956</v>
      </c>
      <c r="G13" t="s">
        <v>868</v>
      </c>
      <c r="H13" s="14" t="s">
        <v>121</v>
      </c>
      <c r="I13" s="23">
        <v>43131</v>
      </c>
      <c r="J13" s="27">
        <v>24</v>
      </c>
      <c r="K13" s="19">
        <f t="shared" si="0"/>
        <v>822</v>
      </c>
      <c r="L13" s="4">
        <v>42401</v>
      </c>
      <c r="M13" s="4">
        <v>43131</v>
      </c>
      <c r="N13" s="27">
        <v>24</v>
      </c>
    </row>
    <row r="14" spans="1:20">
      <c r="A14" t="s">
        <v>801</v>
      </c>
      <c r="B14" t="s">
        <v>934</v>
      </c>
      <c r="C14" s="29" t="s">
        <v>624</v>
      </c>
      <c r="D14" t="s">
        <v>625</v>
      </c>
      <c r="E14" t="s">
        <v>957</v>
      </c>
      <c r="F14" t="s">
        <v>958</v>
      </c>
      <c r="G14" t="s">
        <v>869</v>
      </c>
      <c r="H14" s="14" t="s">
        <v>203</v>
      </c>
      <c r="I14" s="23">
        <v>43584</v>
      </c>
      <c r="J14" s="27">
        <v>24</v>
      </c>
      <c r="K14" s="17">
        <f t="shared" si="0"/>
        <v>-32</v>
      </c>
      <c r="L14" s="4">
        <v>42824</v>
      </c>
      <c r="M14" s="4">
        <v>43553</v>
      </c>
      <c r="N14" s="27">
        <v>24</v>
      </c>
    </row>
    <row r="15" spans="1:20">
      <c r="A15" t="s">
        <v>805</v>
      </c>
      <c r="B15" t="s">
        <v>1505</v>
      </c>
      <c r="C15" s="29" t="s">
        <v>302</v>
      </c>
      <c r="D15" t="s">
        <v>303</v>
      </c>
      <c r="E15" t="s">
        <v>959</v>
      </c>
      <c r="F15" t="s">
        <v>960</v>
      </c>
      <c r="G15" t="s">
        <v>873</v>
      </c>
      <c r="H15" s="14" t="s">
        <v>304</v>
      </c>
      <c r="I15" s="14">
        <v>43745</v>
      </c>
      <c r="J15" s="27">
        <v>27</v>
      </c>
      <c r="K15" s="19">
        <f t="shared" si="0"/>
        <v>2674</v>
      </c>
      <c r="L15" s="4">
        <v>43004</v>
      </c>
      <c r="M15" s="4">
        <v>43745</v>
      </c>
      <c r="N15" s="27">
        <v>24</v>
      </c>
    </row>
    <row r="16" spans="1:20">
      <c r="A16" t="s">
        <v>805</v>
      </c>
      <c r="B16" t="s">
        <v>1505</v>
      </c>
      <c r="C16" s="29" t="s">
        <v>305</v>
      </c>
      <c r="D16" t="s">
        <v>1504</v>
      </c>
      <c r="E16" t="s">
        <v>961</v>
      </c>
      <c r="F16" t="s">
        <v>962</v>
      </c>
      <c r="G16" t="s">
        <v>873</v>
      </c>
      <c r="H16" s="14" t="s">
        <v>306</v>
      </c>
      <c r="I16" s="23">
        <v>43745</v>
      </c>
      <c r="J16" s="27">
        <v>24</v>
      </c>
      <c r="K16" s="19">
        <f t="shared" si="0"/>
        <v>2280</v>
      </c>
      <c r="L16" s="4">
        <v>42998</v>
      </c>
      <c r="M16" s="4">
        <v>43728</v>
      </c>
      <c r="N16" s="27">
        <v>24</v>
      </c>
    </row>
    <row r="17" spans="1:14">
      <c r="A17" t="s">
        <v>805</v>
      </c>
      <c r="B17" t="s">
        <v>1505</v>
      </c>
      <c r="C17" s="29" t="s">
        <v>307</v>
      </c>
      <c r="D17" t="s">
        <v>308</v>
      </c>
      <c r="E17" t="s">
        <v>963</v>
      </c>
      <c r="F17" t="s">
        <v>964</v>
      </c>
      <c r="G17" t="s">
        <v>873</v>
      </c>
      <c r="H17" s="14" t="s">
        <v>309</v>
      </c>
      <c r="I17" s="14">
        <v>43653</v>
      </c>
      <c r="J17" s="27">
        <v>24</v>
      </c>
      <c r="K17" s="19">
        <f t="shared" si="0"/>
        <v>2052</v>
      </c>
      <c r="L17" s="4">
        <v>42915</v>
      </c>
      <c r="M17" s="4">
        <v>43653</v>
      </c>
      <c r="N17" s="27">
        <v>24</v>
      </c>
    </row>
    <row r="18" spans="1:14">
      <c r="A18" t="s">
        <v>805</v>
      </c>
      <c r="B18" t="s">
        <v>1505</v>
      </c>
      <c r="C18" s="29" t="s">
        <v>53</v>
      </c>
      <c r="D18" t="s">
        <v>54</v>
      </c>
      <c r="E18" t="s">
        <v>965</v>
      </c>
      <c r="F18" t="s">
        <v>966</v>
      </c>
      <c r="G18" t="s">
        <v>873</v>
      </c>
      <c r="H18" s="14" t="s">
        <v>55</v>
      </c>
      <c r="I18" s="14">
        <v>43195</v>
      </c>
      <c r="J18" s="27">
        <v>30</v>
      </c>
      <c r="K18" s="19">
        <f t="shared" si="0"/>
        <v>1306</v>
      </c>
      <c r="L18" s="4">
        <v>42459</v>
      </c>
      <c r="M18" s="4">
        <v>43189</v>
      </c>
      <c r="N18" s="27">
        <v>24</v>
      </c>
    </row>
    <row r="19" spans="1:14">
      <c r="A19" t="s">
        <v>805</v>
      </c>
      <c r="B19" t="s">
        <v>1505</v>
      </c>
      <c r="C19" s="29" t="s">
        <v>56</v>
      </c>
      <c r="D19" t="s">
        <v>57</v>
      </c>
      <c r="E19" t="s">
        <v>967</v>
      </c>
      <c r="F19" t="s">
        <v>968</v>
      </c>
      <c r="G19" t="s">
        <v>873</v>
      </c>
      <c r="H19" s="14" t="s">
        <v>58</v>
      </c>
      <c r="I19" s="14">
        <v>43225</v>
      </c>
      <c r="J19" s="27">
        <v>30</v>
      </c>
      <c r="K19" s="19">
        <f t="shared" si="0"/>
        <v>816</v>
      </c>
      <c r="L19" s="4">
        <v>42122</v>
      </c>
      <c r="M19" s="6">
        <v>43225</v>
      </c>
      <c r="N19" s="27">
        <v>24</v>
      </c>
    </row>
    <row r="20" spans="1:14">
      <c r="A20" t="s">
        <v>805</v>
      </c>
      <c r="B20" t="s">
        <v>1505</v>
      </c>
      <c r="C20" s="29" t="s">
        <v>310</v>
      </c>
      <c r="D20" t="s">
        <v>311</v>
      </c>
      <c r="E20" t="s">
        <v>969</v>
      </c>
      <c r="F20" t="s">
        <v>970</v>
      </c>
      <c r="G20" t="s">
        <v>873</v>
      </c>
      <c r="H20" s="14" t="s">
        <v>61</v>
      </c>
      <c r="I20" s="14">
        <v>43108</v>
      </c>
      <c r="J20" s="27">
        <v>36</v>
      </c>
      <c r="K20" s="19">
        <f t="shared" si="0"/>
        <v>936</v>
      </c>
      <c r="L20" s="4">
        <v>42270</v>
      </c>
      <c r="M20" s="6">
        <v>43108</v>
      </c>
      <c r="N20" s="27">
        <v>24</v>
      </c>
    </row>
    <row r="21" spans="1:14">
      <c r="A21" t="s">
        <v>805</v>
      </c>
      <c r="B21" t="s">
        <v>1505</v>
      </c>
      <c r="C21" s="29" t="s">
        <v>59</v>
      </c>
      <c r="D21" t="s">
        <v>60</v>
      </c>
      <c r="E21" t="s">
        <v>971</v>
      </c>
      <c r="F21" t="s">
        <v>972</v>
      </c>
      <c r="G21" t="s">
        <v>873</v>
      </c>
      <c r="H21" s="14" t="s">
        <v>61</v>
      </c>
      <c r="I21" s="23">
        <v>43282</v>
      </c>
      <c r="J21" s="27">
        <v>26</v>
      </c>
      <c r="K21" s="19">
        <f t="shared" si="0"/>
        <v>822</v>
      </c>
      <c r="L21" s="4">
        <v>42156</v>
      </c>
      <c r="M21" s="4">
        <v>43252</v>
      </c>
      <c r="N21" s="27">
        <v>24</v>
      </c>
    </row>
    <row r="22" spans="1:14">
      <c r="A22" t="s">
        <v>805</v>
      </c>
      <c r="B22" t="s">
        <v>1505</v>
      </c>
      <c r="C22" s="29" t="s">
        <v>312</v>
      </c>
      <c r="D22" t="s">
        <v>313</v>
      </c>
      <c r="E22" t="s">
        <v>973</v>
      </c>
      <c r="F22" t="s">
        <v>974</v>
      </c>
      <c r="G22" t="s">
        <v>873</v>
      </c>
      <c r="H22" s="14" t="s">
        <v>314</v>
      </c>
      <c r="I22" s="14">
        <v>43141</v>
      </c>
      <c r="J22" s="27">
        <v>24</v>
      </c>
      <c r="K22" s="19">
        <f t="shared" si="0"/>
        <v>740</v>
      </c>
      <c r="L22" s="4">
        <v>42394</v>
      </c>
      <c r="M22" s="4">
        <v>43125</v>
      </c>
      <c r="N22" s="27">
        <v>24</v>
      </c>
    </row>
    <row r="23" spans="1:14">
      <c r="A23" t="s">
        <v>805</v>
      </c>
      <c r="B23" t="s">
        <v>1505</v>
      </c>
      <c r="C23" s="29" t="s">
        <v>62</v>
      </c>
      <c r="D23" t="s">
        <v>63</v>
      </c>
      <c r="E23" t="s">
        <v>975</v>
      </c>
      <c r="F23" t="s">
        <v>976</v>
      </c>
      <c r="G23" t="s">
        <v>873</v>
      </c>
      <c r="H23" s="14" t="s">
        <v>64</v>
      </c>
      <c r="I23" s="23">
        <v>44050</v>
      </c>
      <c r="J23" s="27">
        <v>12</v>
      </c>
      <c r="K23" s="19">
        <f t="shared" si="0"/>
        <v>1263</v>
      </c>
      <c r="L23" s="4">
        <v>42947</v>
      </c>
      <c r="M23" s="4">
        <v>44050</v>
      </c>
      <c r="N23" s="27">
        <v>36</v>
      </c>
    </row>
    <row r="24" spans="1:14">
      <c r="A24" t="s">
        <v>805</v>
      </c>
      <c r="B24" t="s">
        <v>1505</v>
      </c>
      <c r="C24" s="29" t="s">
        <v>315</v>
      </c>
      <c r="D24" t="s">
        <v>316</v>
      </c>
      <c r="E24" t="s">
        <v>977</v>
      </c>
      <c r="F24" t="s">
        <v>978</v>
      </c>
      <c r="G24" t="s">
        <v>873</v>
      </c>
      <c r="H24" s="14" t="s">
        <v>317</v>
      </c>
      <c r="I24" s="23">
        <v>43560</v>
      </c>
      <c r="J24" s="27">
        <v>24</v>
      </c>
      <c r="K24" s="19">
        <f t="shared" si="0"/>
        <v>844</v>
      </c>
      <c r="L24" s="4">
        <v>42835</v>
      </c>
      <c r="M24" s="4">
        <v>43560</v>
      </c>
      <c r="N24" s="27">
        <v>24</v>
      </c>
    </row>
    <row r="25" spans="1:14">
      <c r="A25" t="s">
        <v>805</v>
      </c>
      <c r="B25" t="s">
        <v>1505</v>
      </c>
      <c r="C25" s="29" t="s">
        <v>318</v>
      </c>
      <c r="D25" t="s">
        <v>319</v>
      </c>
      <c r="E25" t="s">
        <v>979</v>
      </c>
      <c r="F25" t="s">
        <v>980</v>
      </c>
      <c r="G25" t="s">
        <v>873</v>
      </c>
      <c r="H25" s="14" t="s">
        <v>320</v>
      </c>
      <c r="I25" s="23">
        <v>43561</v>
      </c>
      <c r="J25" s="27">
        <v>24</v>
      </c>
      <c r="K25" s="19">
        <f t="shared" si="0"/>
        <v>813</v>
      </c>
      <c r="L25" s="4">
        <v>42825</v>
      </c>
      <c r="M25" s="4">
        <v>43561</v>
      </c>
      <c r="N25" s="27">
        <v>24</v>
      </c>
    </row>
    <row r="26" spans="1:14">
      <c r="A26" t="s">
        <v>805</v>
      </c>
      <c r="B26" t="s">
        <v>1505</v>
      </c>
      <c r="C26" s="29" t="s">
        <v>65</v>
      </c>
      <c r="D26" t="s">
        <v>66</v>
      </c>
      <c r="E26" t="s">
        <v>981</v>
      </c>
      <c r="F26" t="s">
        <v>982</v>
      </c>
      <c r="G26" t="s">
        <v>873</v>
      </c>
      <c r="H26" s="14" t="s">
        <v>67</v>
      </c>
      <c r="I26" s="23">
        <v>43590</v>
      </c>
      <c r="J26" s="27">
        <v>8</v>
      </c>
      <c r="K26" s="19">
        <f t="shared" si="0"/>
        <v>133</v>
      </c>
      <c r="L26" s="4">
        <v>42838</v>
      </c>
      <c r="M26" s="4">
        <v>43568</v>
      </c>
      <c r="N26" s="27">
        <v>24</v>
      </c>
    </row>
    <row r="27" spans="1:14">
      <c r="A27" t="s">
        <v>805</v>
      </c>
      <c r="B27" t="s">
        <v>934</v>
      </c>
      <c r="C27" s="29" t="s">
        <v>636</v>
      </c>
      <c r="D27" t="s">
        <v>637</v>
      </c>
      <c r="E27" t="s">
        <v>983</v>
      </c>
      <c r="F27" t="s">
        <v>984</v>
      </c>
      <c r="G27" t="s">
        <v>873</v>
      </c>
      <c r="H27" s="14" t="s">
        <v>350</v>
      </c>
      <c r="I27" s="14">
        <v>43111</v>
      </c>
      <c r="J27" s="27">
        <v>24</v>
      </c>
      <c r="K27" s="17">
        <f t="shared" si="0"/>
        <v>-40</v>
      </c>
      <c r="L27" s="4">
        <v>42341</v>
      </c>
      <c r="M27" s="6">
        <v>43111</v>
      </c>
      <c r="N27" s="27">
        <v>24</v>
      </c>
    </row>
    <row r="28" spans="1:14">
      <c r="A28" t="s">
        <v>805</v>
      </c>
      <c r="B28" t="s">
        <v>934</v>
      </c>
      <c r="C28" s="29" t="s">
        <v>638</v>
      </c>
      <c r="D28" t="s">
        <v>639</v>
      </c>
      <c r="E28" t="s">
        <v>985</v>
      </c>
      <c r="F28" t="s">
        <v>986</v>
      </c>
      <c r="G28" t="s">
        <v>873</v>
      </c>
      <c r="H28" s="14" t="s">
        <v>640</v>
      </c>
      <c r="I28" s="14">
        <v>43119</v>
      </c>
      <c r="J28" s="27">
        <v>24</v>
      </c>
      <c r="K28" s="17">
        <f t="shared" si="0"/>
        <v>-43</v>
      </c>
      <c r="L28" s="4">
        <v>42346</v>
      </c>
      <c r="M28" s="6">
        <v>43119</v>
      </c>
      <c r="N28" s="27">
        <v>24</v>
      </c>
    </row>
    <row r="29" spans="1:14">
      <c r="A29" t="s">
        <v>805</v>
      </c>
      <c r="B29" t="s">
        <v>934</v>
      </c>
      <c r="C29" s="29" t="s">
        <v>642</v>
      </c>
      <c r="D29" t="s">
        <v>643</v>
      </c>
      <c r="E29" t="s">
        <v>987</v>
      </c>
      <c r="F29" t="s">
        <v>988</v>
      </c>
      <c r="G29" t="s">
        <v>873</v>
      </c>
      <c r="H29" s="14" t="s">
        <v>287</v>
      </c>
      <c r="I29" s="14">
        <v>43286</v>
      </c>
      <c r="J29" s="27">
        <v>24</v>
      </c>
      <c r="K29" s="17">
        <f t="shared" si="0"/>
        <v>-345</v>
      </c>
      <c r="L29" s="4">
        <v>42542</v>
      </c>
      <c r="M29" s="4">
        <v>43272</v>
      </c>
      <c r="N29" s="27">
        <v>24</v>
      </c>
    </row>
    <row r="30" spans="1:14">
      <c r="A30" t="s">
        <v>773</v>
      </c>
      <c r="B30" t="s">
        <v>1505</v>
      </c>
      <c r="C30" s="29" t="s">
        <v>181</v>
      </c>
      <c r="D30" t="s">
        <v>182</v>
      </c>
      <c r="E30" t="s">
        <v>989</v>
      </c>
      <c r="F30" t="s">
        <v>990</v>
      </c>
      <c r="G30" t="s">
        <v>841</v>
      </c>
      <c r="H30" s="14" t="s">
        <v>183</v>
      </c>
      <c r="I30" s="23">
        <v>43370</v>
      </c>
      <c r="J30" s="27">
        <v>24</v>
      </c>
      <c r="K30" s="19">
        <f t="shared" si="0"/>
        <v>-37</v>
      </c>
      <c r="L30" s="4">
        <v>42604</v>
      </c>
      <c r="M30" s="4">
        <v>43333</v>
      </c>
      <c r="N30" s="27">
        <v>24</v>
      </c>
    </row>
    <row r="31" spans="1:14">
      <c r="A31" t="s">
        <v>773</v>
      </c>
      <c r="B31" t="s">
        <v>934</v>
      </c>
      <c r="C31" s="29" t="s">
        <v>531</v>
      </c>
      <c r="D31" t="s">
        <v>532</v>
      </c>
      <c r="E31" t="s">
        <v>991</v>
      </c>
      <c r="F31" t="s">
        <v>992</v>
      </c>
      <c r="G31" t="s">
        <v>841</v>
      </c>
      <c r="H31" s="14" t="s">
        <v>533</v>
      </c>
      <c r="I31" s="14">
        <v>43194</v>
      </c>
      <c r="J31" s="27">
        <v>24</v>
      </c>
      <c r="K31" s="17">
        <f t="shared" si="0"/>
        <v>-65</v>
      </c>
      <c r="L31" s="4">
        <v>42401</v>
      </c>
      <c r="M31" s="4">
        <v>43131</v>
      </c>
      <c r="N31" s="27">
        <v>24</v>
      </c>
    </row>
    <row r="32" spans="1:14">
      <c r="A32" t="s">
        <v>818</v>
      </c>
      <c r="B32" t="s">
        <v>1505</v>
      </c>
      <c r="C32" s="29" t="s">
        <v>404</v>
      </c>
      <c r="D32" t="s">
        <v>405</v>
      </c>
      <c r="E32" t="s">
        <v>993</v>
      </c>
      <c r="F32" t="s">
        <v>994</v>
      </c>
      <c r="G32" t="s">
        <v>886</v>
      </c>
      <c r="H32" s="14" t="s">
        <v>406</v>
      </c>
      <c r="I32" s="14">
        <v>43272</v>
      </c>
      <c r="J32" s="27">
        <v>24</v>
      </c>
      <c r="K32" s="19">
        <f t="shared" si="0"/>
        <v>374</v>
      </c>
      <c r="L32" s="4">
        <v>42917</v>
      </c>
      <c r="M32" s="4">
        <v>43646</v>
      </c>
      <c r="N32" s="27">
        <v>24</v>
      </c>
    </row>
    <row r="33" spans="1:14" ht="13.5" thickBot="1">
      <c r="A33" t="s">
        <v>818</v>
      </c>
      <c r="B33" t="s">
        <v>934</v>
      </c>
      <c r="C33" s="29" t="s">
        <v>689</v>
      </c>
      <c r="D33" t="s">
        <v>690</v>
      </c>
      <c r="E33" t="s">
        <v>995</v>
      </c>
      <c r="F33" t="s">
        <v>996</v>
      </c>
      <c r="G33" t="s">
        <v>886</v>
      </c>
      <c r="H33" s="14" t="s">
        <v>691</v>
      </c>
      <c r="I33" s="14">
        <v>43165</v>
      </c>
      <c r="J33" s="27">
        <v>24</v>
      </c>
      <c r="K33" s="17">
        <f t="shared" si="0"/>
        <v>365</v>
      </c>
      <c r="L33" s="4">
        <v>42802</v>
      </c>
      <c r="M33" s="4">
        <v>43531</v>
      </c>
      <c r="N33" s="27">
        <v>24</v>
      </c>
    </row>
    <row r="34" spans="1:14" ht="13.5" thickBot="1">
      <c r="A34" t="s">
        <v>818</v>
      </c>
      <c r="B34" t="s">
        <v>934</v>
      </c>
      <c r="C34" s="29" t="s">
        <v>692</v>
      </c>
      <c r="D34" t="s">
        <v>693</v>
      </c>
      <c r="E34" t="s">
        <v>997</v>
      </c>
      <c r="F34" t="s">
        <v>998</v>
      </c>
      <c r="G34" t="s">
        <v>886</v>
      </c>
      <c r="H34" s="14" t="s">
        <v>694</v>
      </c>
      <c r="I34" s="14">
        <v>43210</v>
      </c>
      <c r="J34" s="27">
        <v>24</v>
      </c>
      <c r="K34" s="17">
        <f t="shared" si="0"/>
        <v>364</v>
      </c>
      <c r="L34" s="4">
        <v>42846</v>
      </c>
      <c r="M34" s="7">
        <v>43575</v>
      </c>
      <c r="N34" s="27">
        <v>24</v>
      </c>
    </row>
    <row r="35" spans="1:14" ht="13.5" thickBot="1">
      <c r="A35" t="s">
        <v>818</v>
      </c>
      <c r="B35" t="s">
        <v>934</v>
      </c>
      <c r="C35" s="29" t="s">
        <v>695</v>
      </c>
      <c r="D35" t="s">
        <v>696</v>
      </c>
      <c r="E35" t="s">
        <v>999</v>
      </c>
      <c r="F35" t="s">
        <v>1000</v>
      </c>
      <c r="G35" t="s">
        <v>886</v>
      </c>
      <c r="H35" s="14" t="s">
        <v>406</v>
      </c>
      <c r="I35" s="14">
        <v>43272</v>
      </c>
      <c r="J35" s="27">
        <v>24</v>
      </c>
      <c r="K35" s="17">
        <f t="shared" si="0"/>
        <v>30</v>
      </c>
      <c r="L35" s="4">
        <v>42573</v>
      </c>
      <c r="M35" s="7">
        <v>43302</v>
      </c>
      <c r="N35" s="27">
        <v>24</v>
      </c>
    </row>
    <row r="36" spans="1:14">
      <c r="A36" t="s">
        <v>818</v>
      </c>
      <c r="B36" t="s">
        <v>934</v>
      </c>
      <c r="C36" s="29" t="s">
        <v>697</v>
      </c>
      <c r="D36" t="s">
        <v>698</v>
      </c>
      <c r="E36" t="s">
        <v>1001</v>
      </c>
      <c r="F36" t="s">
        <v>1002</v>
      </c>
      <c r="G36" t="s">
        <v>886</v>
      </c>
      <c r="H36" s="14" t="s">
        <v>140</v>
      </c>
      <c r="I36" s="14">
        <v>43281</v>
      </c>
      <c r="J36" s="27">
        <v>24</v>
      </c>
      <c r="K36" s="17">
        <f t="shared" si="0"/>
        <v>365</v>
      </c>
      <c r="L36" s="4">
        <v>42917</v>
      </c>
      <c r="M36" s="4">
        <v>43646</v>
      </c>
      <c r="N36" s="27">
        <v>24</v>
      </c>
    </row>
    <row r="37" spans="1:14">
      <c r="A37" t="s">
        <v>818</v>
      </c>
      <c r="B37" t="s">
        <v>934</v>
      </c>
      <c r="C37" s="29" t="s">
        <v>699</v>
      </c>
      <c r="D37" t="s">
        <v>700</v>
      </c>
      <c r="E37" t="s">
        <v>1003</v>
      </c>
      <c r="F37" t="s">
        <v>1004</v>
      </c>
      <c r="G37" t="s">
        <v>886</v>
      </c>
      <c r="H37" s="14" t="s">
        <v>564</v>
      </c>
      <c r="I37" s="14">
        <v>43373</v>
      </c>
      <c r="J37" s="27">
        <v>24</v>
      </c>
      <c r="K37" s="17">
        <f t="shared" si="0"/>
        <v>365</v>
      </c>
      <c r="L37" s="4">
        <v>43009</v>
      </c>
      <c r="M37" s="4">
        <v>43738</v>
      </c>
      <c r="N37" s="27">
        <v>24</v>
      </c>
    </row>
    <row r="38" spans="1:14">
      <c r="A38" t="s">
        <v>818</v>
      </c>
      <c r="B38" t="s">
        <v>934</v>
      </c>
      <c r="C38" s="29" t="s">
        <v>701</v>
      </c>
      <c r="D38" t="s">
        <v>702</v>
      </c>
      <c r="E38" t="s">
        <v>1005</v>
      </c>
      <c r="F38" t="s">
        <v>1006</v>
      </c>
      <c r="G38" t="s">
        <v>886</v>
      </c>
      <c r="H38" s="14" t="s">
        <v>67</v>
      </c>
      <c r="I38" s="14">
        <v>43433</v>
      </c>
      <c r="J38" s="27">
        <v>24</v>
      </c>
      <c r="K38" s="17">
        <f t="shared" si="0"/>
        <v>365</v>
      </c>
      <c r="L38" s="4">
        <v>43070</v>
      </c>
      <c r="M38" s="4">
        <v>43799</v>
      </c>
      <c r="N38" s="27">
        <v>24</v>
      </c>
    </row>
    <row r="39" spans="1:14">
      <c r="A39" t="s">
        <v>818</v>
      </c>
      <c r="B39" t="s">
        <v>934</v>
      </c>
      <c r="C39" s="29" t="s">
        <v>703</v>
      </c>
      <c r="D39" t="s">
        <v>704</v>
      </c>
      <c r="E39" t="s">
        <v>1007</v>
      </c>
      <c r="F39" t="s">
        <v>1008</v>
      </c>
      <c r="G39" t="s">
        <v>886</v>
      </c>
      <c r="H39" s="14" t="s">
        <v>705</v>
      </c>
      <c r="I39" s="14">
        <v>43103</v>
      </c>
      <c r="J39" s="27">
        <v>12</v>
      </c>
      <c r="K39" s="17">
        <f t="shared" si="0"/>
        <v>116</v>
      </c>
      <c r="L39" s="4">
        <v>42856</v>
      </c>
      <c r="M39" s="4">
        <v>43585</v>
      </c>
      <c r="N39" s="27">
        <v>12</v>
      </c>
    </row>
    <row r="40" spans="1:14">
      <c r="A40" t="s">
        <v>818</v>
      </c>
      <c r="B40" t="s">
        <v>934</v>
      </c>
      <c r="C40" s="29" t="s">
        <v>706</v>
      </c>
      <c r="D40" t="s">
        <v>707</v>
      </c>
      <c r="E40" t="s">
        <v>1009</v>
      </c>
      <c r="F40" t="s">
        <v>1010</v>
      </c>
      <c r="G40" t="s">
        <v>886</v>
      </c>
      <c r="H40" s="14" t="s">
        <v>708</v>
      </c>
      <c r="I40" s="14">
        <v>43715</v>
      </c>
      <c r="J40" s="27">
        <v>24</v>
      </c>
      <c r="K40" s="17">
        <f t="shared" si="0"/>
        <v>23</v>
      </c>
      <c r="L40" s="4">
        <v>43009</v>
      </c>
      <c r="M40" s="4">
        <v>43715</v>
      </c>
      <c r="N40" s="27">
        <v>24</v>
      </c>
    </row>
    <row r="41" spans="1:14">
      <c r="A41" t="s">
        <v>802</v>
      </c>
      <c r="B41" t="s">
        <v>1505</v>
      </c>
      <c r="C41" s="29" t="s">
        <v>288</v>
      </c>
      <c r="D41" t="s">
        <v>289</v>
      </c>
      <c r="E41" t="s">
        <v>1011</v>
      </c>
      <c r="F41" t="s">
        <v>1012</v>
      </c>
      <c r="G41" t="s">
        <v>870</v>
      </c>
      <c r="H41" s="14" t="s">
        <v>266</v>
      </c>
      <c r="I41" s="23">
        <v>43251</v>
      </c>
      <c r="J41" s="27">
        <v>24</v>
      </c>
      <c r="K41" s="19">
        <f t="shared" si="0"/>
        <v>30</v>
      </c>
      <c r="L41" s="4">
        <v>42552</v>
      </c>
      <c r="M41" s="4">
        <v>43281</v>
      </c>
      <c r="N41" s="27">
        <v>24</v>
      </c>
    </row>
    <row r="42" spans="1:14">
      <c r="A42" t="s">
        <v>802</v>
      </c>
      <c r="B42" t="s">
        <v>934</v>
      </c>
      <c r="C42" s="29" t="s">
        <v>626</v>
      </c>
      <c r="D42" t="s">
        <v>627</v>
      </c>
      <c r="E42" t="s">
        <v>1013</v>
      </c>
      <c r="F42" t="s">
        <v>1014</v>
      </c>
      <c r="G42" t="s">
        <v>870</v>
      </c>
      <c r="H42" s="14" t="s">
        <v>133</v>
      </c>
      <c r="I42" s="23">
        <v>43496</v>
      </c>
      <c r="J42" s="27">
        <v>24</v>
      </c>
      <c r="K42" s="17">
        <f t="shared" si="0"/>
        <v>-366</v>
      </c>
      <c r="L42" s="4">
        <v>42401</v>
      </c>
      <c r="M42" s="4">
        <v>43131</v>
      </c>
      <c r="N42" s="27">
        <v>24</v>
      </c>
    </row>
    <row r="43" spans="1:14">
      <c r="A43" t="s">
        <v>768</v>
      </c>
      <c r="B43" t="s">
        <v>1505</v>
      </c>
      <c r="C43" s="29" t="s">
        <v>116</v>
      </c>
      <c r="D43" t="s">
        <v>117</v>
      </c>
      <c r="E43" t="s">
        <v>1015</v>
      </c>
      <c r="F43" t="s">
        <v>1016</v>
      </c>
      <c r="G43" t="s">
        <v>836</v>
      </c>
      <c r="H43" s="14" t="s">
        <v>118</v>
      </c>
      <c r="I43" s="14">
        <v>43434</v>
      </c>
      <c r="J43" s="27">
        <v>24</v>
      </c>
      <c r="K43" s="19">
        <f t="shared" si="0"/>
        <v>31</v>
      </c>
      <c r="L43" s="4">
        <v>42370</v>
      </c>
      <c r="M43" s="6">
        <v>43434</v>
      </c>
      <c r="N43" s="27">
        <v>24</v>
      </c>
    </row>
    <row r="44" spans="1:14">
      <c r="A44" t="s">
        <v>768</v>
      </c>
      <c r="B44" t="s">
        <v>934</v>
      </c>
      <c r="C44" s="29" t="s">
        <v>511</v>
      </c>
      <c r="D44" t="s">
        <v>512</v>
      </c>
      <c r="E44" t="s">
        <v>1017</v>
      </c>
      <c r="F44" t="s">
        <v>1018</v>
      </c>
      <c r="G44" t="s">
        <v>836</v>
      </c>
      <c r="H44" s="14" t="s">
        <v>513</v>
      </c>
      <c r="I44" s="14">
        <v>43152</v>
      </c>
      <c r="J44" s="27">
        <v>24</v>
      </c>
      <c r="K44" s="17">
        <f t="shared" si="0"/>
        <v>8</v>
      </c>
      <c r="L44" s="4">
        <v>42430</v>
      </c>
      <c r="M44" s="4">
        <v>43152</v>
      </c>
      <c r="N44" s="27">
        <v>24</v>
      </c>
    </row>
    <row r="45" spans="1:14">
      <c r="A45" t="s">
        <v>768</v>
      </c>
      <c r="B45" t="s">
        <v>934</v>
      </c>
      <c r="C45" s="29" t="s">
        <v>514</v>
      </c>
      <c r="D45" t="s">
        <v>515</v>
      </c>
      <c r="E45" t="s">
        <v>1019</v>
      </c>
      <c r="F45" t="s">
        <v>1020</v>
      </c>
      <c r="G45" t="s">
        <v>836</v>
      </c>
      <c r="H45" s="14" t="s">
        <v>341</v>
      </c>
      <c r="I45" s="14">
        <v>43265</v>
      </c>
      <c r="J45" s="27">
        <v>24</v>
      </c>
      <c r="K45" s="17">
        <f t="shared" si="0"/>
        <v>16</v>
      </c>
      <c r="L45" s="4">
        <v>42552</v>
      </c>
      <c r="M45" s="4">
        <v>43265</v>
      </c>
      <c r="N45" s="27">
        <v>24</v>
      </c>
    </row>
    <row r="46" spans="1:14">
      <c r="A46" t="s">
        <v>768</v>
      </c>
      <c r="B46" t="s">
        <v>934</v>
      </c>
      <c r="C46" s="29" t="s">
        <v>516</v>
      </c>
      <c r="D46" t="s">
        <v>517</v>
      </c>
      <c r="E46" t="s">
        <v>1021</v>
      </c>
      <c r="F46" t="s">
        <v>1022</v>
      </c>
      <c r="G46" t="s">
        <v>836</v>
      </c>
      <c r="H46" s="14" t="s">
        <v>518</v>
      </c>
      <c r="I46" s="23">
        <v>43385</v>
      </c>
      <c r="J46" s="27">
        <v>24</v>
      </c>
      <c r="K46" s="17">
        <f t="shared" si="0"/>
        <v>19</v>
      </c>
      <c r="L46" s="4">
        <v>42675</v>
      </c>
      <c r="M46" s="4">
        <v>43385</v>
      </c>
      <c r="N46" s="27">
        <v>24</v>
      </c>
    </row>
    <row r="47" spans="1:14">
      <c r="A47" t="s">
        <v>768</v>
      </c>
      <c r="B47" t="s">
        <v>934</v>
      </c>
      <c r="C47" s="29" t="s">
        <v>519</v>
      </c>
      <c r="D47" t="s">
        <v>520</v>
      </c>
      <c r="E47" t="s">
        <v>1023</v>
      </c>
      <c r="F47" t="s">
        <v>1024</v>
      </c>
      <c r="G47" t="s">
        <v>836</v>
      </c>
      <c r="H47" s="14" t="s">
        <v>521</v>
      </c>
      <c r="I47" s="23">
        <v>43646</v>
      </c>
      <c r="J47" s="27">
        <v>24</v>
      </c>
      <c r="K47" s="17">
        <f t="shared" si="0"/>
        <v>31</v>
      </c>
      <c r="L47" s="4">
        <v>42948</v>
      </c>
      <c r="M47" s="4">
        <v>43677</v>
      </c>
      <c r="N47" s="27">
        <v>24</v>
      </c>
    </row>
    <row r="48" spans="1:14">
      <c r="A48" t="s">
        <v>816</v>
      </c>
      <c r="B48" t="s">
        <v>1505</v>
      </c>
      <c r="C48" s="29" t="s">
        <v>383</v>
      </c>
      <c r="D48" t="s">
        <v>384</v>
      </c>
      <c r="E48" t="s">
        <v>1025</v>
      </c>
      <c r="F48" t="s">
        <v>1026</v>
      </c>
      <c r="G48" t="s">
        <v>884</v>
      </c>
      <c r="H48" s="14" t="s">
        <v>385</v>
      </c>
      <c r="I48" s="14">
        <v>43280</v>
      </c>
      <c r="J48" s="27">
        <v>36</v>
      </c>
      <c r="K48" s="19">
        <f t="shared" si="0"/>
        <v>2247</v>
      </c>
      <c r="L48" s="4">
        <v>41852</v>
      </c>
      <c r="M48" s="6">
        <v>43280</v>
      </c>
      <c r="N48" s="27">
        <v>36</v>
      </c>
    </row>
    <row r="49" spans="1:14">
      <c r="A49" t="s">
        <v>816</v>
      </c>
      <c r="B49" t="s">
        <v>1505</v>
      </c>
      <c r="C49" s="29" t="s">
        <v>389</v>
      </c>
      <c r="D49" t="s">
        <v>390</v>
      </c>
      <c r="E49" t="s">
        <v>1027</v>
      </c>
      <c r="F49" t="s">
        <v>1028</v>
      </c>
      <c r="G49" t="s">
        <v>884</v>
      </c>
      <c r="H49" s="14" t="s">
        <v>391</v>
      </c>
      <c r="I49" s="23">
        <v>43100</v>
      </c>
      <c r="J49" s="27">
        <v>24</v>
      </c>
      <c r="K49" s="19">
        <f t="shared" si="0"/>
        <v>1458</v>
      </c>
      <c r="L49" s="4">
        <v>42491</v>
      </c>
      <c r="M49" s="4">
        <v>43220</v>
      </c>
      <c r="N49" s="27">
        <v>24</v>
      </c>
    </row>
    <row r="50" spans="1:14">
      <c r="A50" t="s">
        <v>816</v>
      </c>
      <c r="B50" t="s">
        <v>1505</v>
      </c>
      <c r="C50" s="29" t="s">
        <v>386</v>
      </c>
      <c r="D50" t="s">
        <v>387</v>
      </c>
      <c r="E50" t="s">
        <v>1029</v>
      </c>
      <c r="F50" t="s">
        <v>1030</v>
      </c>
      <c r="G50" t="s">
        <v>884</v>
      </c>
      <c r="H50" s="14" t="s">
        <v>388</v>
      </c>
      <c r="I50" s="23">
        <v>43281</v>
      </c>
      <c r="J50" s="27">
        <v>24</v>
      </c>
      <c r="K50" s="19">
        <f t="shared" si="0"/>
        <v>117</v>
      </c>
      <c r="L50" s="4">
        <v>41426</v>
      </c>
      <c r="M50" s="4">
        <v>43281</v>
      </c>
      <c r="N50" s="27">
        <v>24</v>
      </c>
    </row>
    <row r="51" spans="1:14">
      <c r="A51" t="s">
        <v>816</v>
      </c>
      <c r="B51" t="s">
        <v>1505</v>
      </c>
      <c r="C51" s="29" t="s">
        <v>80</v>
      </c>
      <c r="D51" t="s">
        <v>81</v>
      </c>
      <c r="E51" t="s">
        <v>1031</v>
      </c>
      <c r="F51" t="s">
        <v>1032</v>
      </c>
      <c r="G51" t="s">
        <v>884</v>
      </c>
      <c r="H51" s="14" t="s">
        <v>82</v>
      </c>
      <c r="I51" s="23">
        <v>43173</v>
      </c>
      <c r="J51" s="27">
        <v>24</v>
      </c>
      <c r="K51" s="19">
        <f t="shared" si="0"/>
        <v>716</v>
      </c>
      <c r="L51" s="4">
        <v>42064</v>
      </c>
      <c r="M51" s="4">
        <v>43159</v>
      </c>
      <c r="N51" s="27">
        <v>36</v>
      </c>
    </row>
    <row r="52" spans="1:14">
      <c r="A52" t="s">
        <v>816</v>
      </c>
      <c r="B52" t="s">
        <v>1505</v>
      </c>
      <c r="C52" s="29" t="s">
        <v>77</v>
      </c>
      <c r="D52" t="s">
        <v>78</v>
      </c>
      <c r="E52" t="s">
        <v>1033</v>
      </c>
      <c r="F52" t="s">
        <v>1034</v>
      </c>
      <c r="G52" t="s">
        <v>884</v>
      </c>
      <c r="H52" s="14" t="s">
        <v>79</v>
      </c>
      <c r="I52" s="14">
        <v>43397</v>
      </c>
      <c r="J52" s="27">
        <v>3</v>
      </c>
      <c r="K52" s="19">
        <f t="shared" si="0"/>
        <v>822</v>
      </c>
      <c r="L52" s="4">
        <v>42278</v>
      </c>
      <c r="M52" s="6">
        <v>43397</v>
      </c>
      <c r="N52" s="27">
        <v>24</v>
      </c>
    </row>
    <row r="53" spans="1:14">
      <c r="A53" t="s">
        <v>816</v>
      </c>
      <c r="B53" t="s">
        <v>934</v>
      </c>
      <c r="C53" s="29" t="s">
        <v>499</v>
      </c>
      <c r="D53" t="s">
        <v>500</v>
      </c>
      <c r="E53" t="s">
        <v>1035</v>
      </c>
      <c r="F53" t="s">
        <v>1036</v>
      </c>
      <c r="G53" t="s">
        <v>884</v>
      </c>
      <c r="H53" s="14" t="s">
        <v>501</v>
      </c>
      <c r="I53" s="23">
        <v>43373</v>
      </c>
      <c r="J53" s="27">
        <v>36</v>
      </c>
      <c r="K53" s="17">
        <f t="shared" si="0"/>
        <v>1339</v>
      </c>
      <c r="L53" s="4">
        <v>42522</v>
      </c>
      <c r="M53" s="4">
        <v>43982</v>
      </c>
      <c r="N53" s="27">
        <v>48</v>
      </c>
    </row>
    <row r="54" spans="1:14">
      <c r="A54" t="s">
        <v>784</v>
      </c>
      <c r="B54" t="s">
        <v>1505</v>
      </c>
      <c r="C54" s="29" t="s">
        <v>240</v>
      </c>
      <c r="D54" t="s">
        <v>241</v>
      </c>
      <c r="E54" t="s">
        <v>1037</v>
      </c>
      <c r="F54" t="s">
        <v>1038</v>
      </c>
      <c r="G54" t="s">
        <v>852</v>
      </c>
      <c r="H54" s="14" t="s">
        <v>242</v>
      </c>
      <c r="I54" s="23">
        <v>43708</v>
      </c>
      <c r="J54" s="27">
        <v>24</v>
      </c>
      <c r="K54" s="19">
        <f t="shared" si="0"/>
        <v>1484</v>
      </c>
      <c r="L54" s="4">
        <v>42978</v>
      </c>
      <c r="M54" s="4">
        <v>43708</v>
      </c>
      <c r="N54" s="27">
        <v>24</v>
      </c>
    </row>
    <row r="55" spans="1:14">
      <c r="A55" t="s">
        <v>784</v>
      </c>
      <c r="B55" t="s">
        <v>1505</v>
      </c>
      <c r="C55" s="29" t="s">
        <v>237</v>
      </c>
      <c r="D55" t="s">
        <v>238</v>
      </c>
      <c r="E55" t="s">
        <v>1039</v>
      </c>
      <c r="F55" t="s">
        <v>1040</v>
      </c>
      <c r="G55" t="s">
        <v>852</v>
      </c>
      <c r="H55" s="14" t="s">
        <v>239</v>
      </c>
      <c r="I55" s="14">
        <v>43738</v>
      </c>
      <c r="J55" s="27">
        <v>24</v>
      </c>
      <c r="K55" s="19">
        <f t="shared" si="0"/>
        <v>1486</v>
      </c>
      <c r="L55" s="4">
        <v>43009</v>
      </c>
      <c r="M55" s="4">
        <v>43738</v>
      </c>
      <c r="N55" s="27">
        <v>24</v>
      </c>
    </row>
    <row r="56" spans="1:14">
      <c r="A56" t="s">
        <v>784</v>
      </c>
      <c r="B56" t="s">
        <v>1505</v>
      </c>
      <c r="C56" s="9" t="s">
        <v>243</v>
      </c>
      <c r="D56" s="9" t="s">
        <v>244</v>
      </c>
      <c r="E56" t="s">
        <v>1041</v>
      </c>
      <c r="F56" t="s">
        <v>1042</v>
      </c>
      <c r="G56" t="s">
        <v>852</v>
      </c>
      <c r="H56" s="14" t="s">
        <v>245</v>
      </c>
      <c r="I56" s="23">
        <v>43434</v>
      </c>
      <c r="J56" s="27">
        <v>24</v>
      </c>
      <c r="K56" s="19">
        <f t="shared" si="0"/>
        <v>761</v>
      </c>
      <c r="L56" s="4">
        <v>42705</v>
      </c>
      <c r="M56" s="4">
        <v>43434</v>
      </c>
      <c r="N56" s="27">
        <v>24</v>
      </c>
    </row>
    <row r="57" spans="1:14">
      <c r="A57" t="s">
        <v>776</v>
      </c>
      <c r="B57" t="s">
        <v>934</v>
      </c>
      <c r="C57" s="29" t="s">
        <v>537</v>
      </c>
      <c r="D57" t="s">
        <v>538</v>
      </c>
      <c r="E57" t="s">
        <v>1043</v>
      </c>
      <c r="F57" t="s">
        <v>1044</v>
      </c>
      <c r="G57" t="s">
        <v>844</v>
      </c>
      <c r="H57" s="14" t="s">
        <v>284</v>
      </c>
      <c r="I57" s="23">
        <v>43343</v>
      </c>
      <c r="J57" s="27">
        <v>24</v>
      </c>
      <c r="K57" s="17">
        <f t="shared" si="0"/>
        <v>730</v>
      </c>
      <c r="L57" s="4">
        <v>42613</v>
      </c>
      <c r="M57" s="4">
        <v>43343</v>
      </c>
      <c r="N57" s="27">
        <v>24</v>
      </c>
    </row>
    <row r="58" spans="1:14">
      <c r="A58" t="s">
        <v>776</v>
      </c>
      <c r="B58" t="s">
        <v>934</v>
      </c>
      <c r="C58" s="29" t="s">
        <v>485</v>
      </c>
      <c r="D58" t="s">
        <v>486</v>
      </c>
      <c r="E58" t="s">
        <v>1045</v>
      </c>
      <c r="F58" t="s">
        <v>1046</v>
      </c>
      <c r="G58" t="s">
        <v>844</v>
      </c>
      <c r="H58" s="14" t="s">
        <v>180</v>
      </c>
      <c r="I58" s="23">
        <v>43312</v>
      </c>
      <c r="J58" s="27">
        <v>12</v>
      </c>
      <c r="K58" s="17">
        <f t="shared" si="0"/>
        <v>-579</v>
      </c>
      <c r="L58" s="4">
        <v>42369</v>
      </c>
      <c r="M58" s="4">
        <v>43099</v>
      </c>
      <c r="N58" s="27">
        <v>24</v>
      </c>
    </row>
    <row r="59" spans="1:14">
      <c r="A59" t="s">
        <v>803</v>
      </c>
      <c r="B59" t="s">
        <v>934</v>
      </c>
      <c r="C59" s="29" t="s">
        <v>628</v>
      </c>
      <c r="D59" t="s">
        <v>629</v>
      </c>
      <c r="E59" t="s">
        <v>1047</v>
      </c>
      <c r="F59" t="s">
        <v>1048</v>
      </c>
      <c r="G59" t="s">
        <v>871</v>
      </c>
      <c r="H59" s="14" t="s">
        <v>67</v>
      </c>
      <c r="I59" s="14">
        <v>43433</v>
      </c>
      <c r="J59" s="27">
        <v>24</v>
      </c>
      <c r="K59" s="17">
        <f t="shared" si="0"/>
        <v>182</v>
      </c>
      <c r="L59" s="4">
        <v>42887</v>
      </c>
      <c r="M59" s="4">
        <v>43617</v>
      </c>
      <c r="N59" s="27">
        <v>24</v>
      </c>
    </row>
    <row r="60" spans="1:14">
      <c r="A60" t="s">
        <v>904</v>
      </c>
      <c r="B60" t="s">
        <v>934</v>
      </c>
      <c r="C60" s="8" t="s">
        <v>540</v>
      </c>
      <c r="D60" s="8" t="s">
        <v>541</v>
      </c>
      <c r="E60" t="s">
        <v>1049</v>
      </c>
      <c r="F60" t="s">
        <v>1050</v>
      </c>
      <c r="G60" t="s">
        <v>913</v>
      </c>
      <c r="H60" s="14" t="s">
        <v>180</v>
      </c>
      <c r="I60" s="23">
        <v>43677</v>
      </c>
      <c r="J60" s="27">
        <v>24</v>
      </c>
      <c r="K60" s="17">
        <f t="shared" si="0"/>
        <v>-88</v>
      </c>
      <c r="L60" s="4">
        <v>42860</v>
      </c>
      <c r="M60" s="4">
        <v>43589</v>
      </c>
      <c r="N60" s="27">
        <v>24</v>
      </c>
    </row>
    <row r="61" spans="1:14">
      <c r="A61" t="s">
        <v>833</v>
      </c>
      <c r="B61" t="s">
        <v>934</v>
      </c>
      <c r="C61" s="29" t="s">
        <v>757</v>
      </c>
      <c r="D61" t="s">
        <v>758</v>
      </c>
      <c r="E61" t="s">
        <v>1051</v>
      </c>
      <c r="F61" t="s">
        <v>1052</v>
      </c>
      <c r="G61" t="s">
        <v>901</v>
      </c>
      <c r="H61" s="14" t="s">
        <v>140</v>
      </c>
      <c r="I61" s="23">
        <v>43281</v>
      </c>
      <c r="J61" s="27">
        <v>24</v>
      </c>
      <c r="K61" s="17">
        <f t="shared" si="0"/>
        <v>-32</v>
      </c>
      <c r="L61" s="4">
        <v>42520</v>
      </c>
      <c r="M61" s="4">
        <v>43249</v>
      </c>
      <c r="N61" s="27">
        <v>24</v>
      </c>
    </row>
    <row r="62" spans="1:14">
      <c r="A62" t="s">
        <v>774</v>
      </c>
      <c r="B62" t="s">
        <v>1505</v>
      </c>
      <c r="C62" s="29" t="s">
        <v>184</v>
      </c>
      <c r="D62" t="s">
        <v>185</v>
      </c>
      <c r="E62" t="s">
        <v>1053</v>
      </c>
      <c r="F62" t="s">
        <v>1054</v>
      </c>
      <c r="G62" t="s">
        <v>842</v>
      </c>
      <c r="H62" s="14" t="s">
        <v>186</v>
      </c>
      <c r="I62" s="14">
        <v>43554</v>
      </c>
      <c r="J62" s="27">
        <v>24</v>
      </c>
      <c r="K62" s="19">
        <f t="shared" si="0"/>
        <v>366</v>
      </c>
      <c r="L62" s="4">
        <v>42461</v>
      </c>
      <c r="M62" s="4">
        <v>43554</v>
      </c>
      <c r="N62" s="27">
        <v>24</v>
      </c>
    </row>
    <row r="63" spans="1:14">
      <c r="A63" t="s">
        <v>806</v>
      </c>
      <c r="B63" t="s">
        <v>934</v>
      </c>
      <c r="C63" s="29" t="s">
        <v>644</v>
      </c>
      <c r="D63" t="s">
        <v>645</v>
      </c>
      <c r="E63" t="s">
        <v>1055</v>
      </c>
      <c r="F63" t="s">
        <v>1056</v>
      </c>
      <c r="G63" t="s">
        <v>874</v>
      </c>
      <c r="H63" s="14" t="s">
        <v>16</v>
      </c>
      <c r="I63" s="14">
        <v>43100</v>
      </c>
      <c r="J63" s="27">
        <v>24</v>
      </c>
      <c r="K63" s="17">
        <f t="shared" si="0"/>
        <v>90</v>
      </c>
      <c r="L63" s="4">
        <v>42095</v>
      </c>
      <c r="M63" s="6">
        <v>43100</v>
      </c>
      <c r="N63" s="27">
        <v>24</v>
      </c>
    </row>
    <row r="64" spans="1:14">
      <c r="A64" t="s">
        <v>806</v>
      </c>
      <c r="B64" t="s">
        <v>934</v>
      </c>
      <c r="C64" s="29" t="s">
        <v>646</v>
      </c>
      <c r="D64" t="s">
        <v>647</v>
      </c>
      <c r="E64" t="s">
        <v>1057</v>
      </c>
      <c r="F64" t="s">
        <v>1058</v>
      </c>
      <c r="G64" t="s">
        <v>874</v>
      </c>
      <c r="H64" s="14" t="s">
        <v>267</v>
      </c>
      <c r="I64" s="23">
        <v>43464</v>
      </c>
      <c r="J64" s="27">
        <v>24</v>
      </c>
      <c r="K64" s="17">
        <f t="shared" si="0"/>
        <v>53</v>
      </c>
      <c r="L64" s="4">
        <v>42789</v>
      </c>
      <c r="M64" s="4">
        <v>43519</v>
      </c>
      <c r="N64" s="27">
        <v>24</v>
      </c>
    </row>
    <row r="65" spans="1:14">
      <c r="A65" t="s">
        <v>797</v>
      </c>
      <c r="B65" t="s">
        <v>934</v>
      </c>
      <c r="C65" s="29" t="s">
        <v>608</v>
      </c>
      <c r="D65" t="s">
        <v>609</v>
      </c>
      <c r="E65" t="s">
        <v>1059</v>
      </c>
      <c r="F65" t="s">
        <v>1060</v>
      </c>
      <c r="G65" t="s">
        <v>865</v>
      </c>
      <c r="H65" s="14" t="s">
        <v>610</v>
      </c>
      <c r="I65" s="23">
        <v>43203</v>
      </c>
      <c r="J65" s="27">
        <v>24</v>
      </c>
      <c r="K65" s="17">
        <f t="shared" si="0"/>
        <v>365</v>
      </c>
      <c r="L65" s="4">
        <v>42840</v>
      </c>
      <c r="M65" s="4">
        <v>43570</v>
      </c>
      <c r="N65" s="27">
        <v>24</v>
      </c>
    </row>
    <row r="66" spans="1:14">
      <c r="A66" t="s">
        <v>797</v>
      </c>
      <c r="B66" t="s">
        <v>934</v>
      </c>
      <c r="C66" s="29" t="s">
        <v>611</v>
      </c>
      <c r="D66" t="s">
        <v>612</v>
      </c>
      <c r="E66" t="s">
        <v>1061</v>
      </c>
      <c r="F66" t="s">
        <v>1062</v>
      </c>
      <c r="G66" t="s">
        <v>865</v>
      </c>
      <c r="H66" s="14" t="s">
        <v>267</v>
      </c>
      <c r="I66" s="23">
        <v>43464</v>
      </c>
      <c r="J66" s="27">
        <v>24</v>
      </c>
      <c r="K66" s="17">
        <f t="shared" si="0"/>
        <v>-38</v>
      </c>
      <c r="L66" s="4">
        <v>42698</v>
      </c>
      <c r="M66" s="4">
        <v>43428</v>
      </c>
      <c r="N66" s="27">
        <v>24</v>
      </c>
    </row>
    <row r="67" spans="1:14">
      <c r="A67" t="s">
        <v>797</v>
      </c>
      <c r="B67" t="s">
        <v>934</v>
      </c>
      <c r="C67" s="29" t="s">
        <v>613</v>
      </c>
      <c r="D67" t="s">
        <v>614</v>
      </c>
      <c r="E67" t="s">
        <v>1063</v>
      </c>
      <c r="F67" t="s">
        <v>1064</v>
      </c>
      <c r="G67" t="s">
        <v>865</v>
      </c>
      <c r="H67" s="14" t="s">
        <v>615</v>
      </c>
      <c r="I67" s="23">
        <v>43634</v>
      </c>
      <c r="J67" s="27">
        <v>24</v>
      </c>
      <c r="K67" s="17">
        <f t="shared" ref="K67:K130" si="1">_xlfn.DAYS(L67,H67)</f>
        <v>30</v>
      </c>
      <c r="L67" s="4">
        <v>42935</v>
      </c>
      <c r="M67" s="4">
        <v>43665</v>
      </c>
      <c r="N67" s="27">
        <v>24</v>
      </c>
    </row>
    <row r="68" spans="1:14">
      <c r="A68" t="s">
        <v>797</v>
      </c>
      <c r="B68" t="s">
        <v>934</v>
      </c>
      <c r="C68" s="29" t="s">
        <v>616</v>
      </c>
      <c r="D68" t="s">
        <v>617</v>
      </c>
      <c r="E68" t="s">
        <v>1065</v>
      </c>
      <c r="F68" t="s">
        <v>1066</v>
      </c>
      <c r="G68" t="s">
        <v>865</v>
      </c>
      <c r="H68" s="14" t="s">
        <v>615</v>
      </c>
      <c r="I68" s="23">
        <v>43634</v>
      </c>
      <c r="J68" s="27">
        <v>24</v>
      </c>
      <c r="K68" s="17">
        <f t="shared" si="1"/>
        <v>30</v>
      </c>
      <c r="L68" s="4">
        <v>42935</v>
      </c>
      <c r="M68" s="4">
        <v>43665</v>
      </c>
      <c r="N68" s="27">
        <v>24</v>
      </c>
    </row>
    <row r="69" spans="1:14">
      <c r="A69" t="s">
        <v>786</v>
      </c>
      <c r="B69" t="s">
        <v>1505</v>
      </c>
      <c r="C69" s="29" t="s">
        <v>252</v>
      </c>
      <c r="D69" t="s">
        <v>253</v>
      </c>
      <c r="E69" t="s">
        <v>1067</v>
      </c>
      <c r="F69" t="s">
        <v>1068</v>
      </c>
      <c r="G69" t="s">
        <v>854</v>
      </c>
      <c r="H69" s="14" t="s">
        <v>254</v>
      </c>
      <c r="I69" s="14">
        <v>43281</v>
      </c>
      <c r="J69" s="27">
        <v>24</v>
      </c>
      <c r="K69" s="19">
        <f t="shared" si="1"/>
        <v>22</v>
      </c>
      <c r="L69" s="4">
        <v>40940</v>
      </c>
      <c r="M69" s="6">
        <v>43281</v>
      </c>
      <c r="N69" s="27">
        <v>24</v>
      </c>
    </row>
    <row r="70" spans="1:14">
      <c r="A70" t="s">
        <v>786</v>
      </c>
      <c r="B70" t="s">
        <v>934</v>
      </c>
      <c r="C70" s="29" t="s">
        <v>565</v>
      </c>
      <c r="D70" t="s">
        <v>566</v>
      </c>
      <c r="E70" t="s">
        <v>1069</v>
      </c>
      <c r="F70" t="s">
        <v>1070</v>
      </c>
      <c r="G70" t="s">
        <v>854</v>
      </c>
      <c r="H70" s="14" t="s">
        <v>567</v>
      </c>
      <c r="I70" s="23">
        <v>43196</v>
      </c>
      <c r="J70" s="27">
        <v>24</v>
      </c>
      <c r="K70" s="17">
        <f t="shared" si="1"/>
        <v>-38</v>
      </c>
      <c r="L70" s="4">
        <v>42430</v>
      </c>
      <c r="M70" s="4">
        <v>43159</v>
      </c>
      <c r="N70" s="27">
        <v>24</v>
      </c>
    </row>
    <row r="71" spans="1:14">
      <c r="A71" t="s">
        <v>787</v>
      </c>
      <c r="B71" t="s">
        <v>1505</v>
      </c>
      <c r="C71" s="29" t="s">
        <v>26</v>
      </c>
      <c r="D71" t="s">
        <v>27</v>
      </c>
      <c r="E71" t="s">
        <v>1071</v>
      </c>
      <c r="F71" t="s">
        <v>1072</v>
      </c>
      <c r="G71" t="s">
        <v>855</v>
      </c>
      <c r="H71" s="14" t="s">
        <v>28</v>
      </c>
      <c r="I71" s="23">
        <v>43434</v>
      </c>
      <c r="J71" s="27">
        <v>24</v>
      </c>
      <c r="K71" s="19">
        <f t="shared" si="1"/>
        <v>1666</v>
      </c>
      <c r="L71" s="4">
        <v>42037</v>
      </c>
      <c r="M71" s="4">
        <v>43132</v>
      </c>
      <c r="N71" s="27">
        <v>12</v>
      </c>
    </row>
    <row r="72" spans="1:14">
      <c r="A72" t="s">
        <v>787</v>
      </c>
      <c r="B72" t="s">
        <v>1505</v>
      </c>
      <c r="C72" s="29" t="s">
        <v>29</v>
      </c>
      <c r="D72" t="s">
        <v>30</v>
      </c>
      <c r="E72" t="s">
        <v>1073</v>
      </c>
      <c r="F72" t="s">
        <v>1074</v>
      </c>
      <c r="G72" t="s">
        <v>855</v>
      </c>
      <c r="H72" s="14" t="s">
        <v>31</v>
      </c>
      <c r="I72" s="23">
        <v>43404</v>
      </c>
      <c r="J72" s="27">
        <v>24</v>
      </c>
      <c r="K72" s="19">
        <f t="shared" si="1"/>
        <v>2048</v>
      </c>
      <c r="L72" s="4">
        <v>42948</v>
      </c>
      <c r="M72" s="4">
        <v>43404</v>
      </c>
      <c r="N72" s="27">
        <v>24.5</v>
      </c>
    </row>
    <row r="73" spans="1:14">
      <c r="A73" t="s">
        <v>787</v>
      </c>
      <c r="B73" t="s">
        <v>1505</v>
      </c>
      <c r="C73" s="29" t="s">
        <v>23</v>
      </c>
      <c r="D73" t="s">
        <v>24</v>
      </c>
      <c r="E73" t="s">
        <v>1075</v>
      </c>
      <c r="F73" t="s">
        <v>1076</v>
      </c>
      <c r="G73" t="s">
        <v>855</v>
      </c>
      <c r="H73" s="14" t="s">
        <v>25</v>
      </c>
      <c r="I73" s="14">
        <v>43281</v>
      </c>
      <c r="J73" s="27">
        <v>24</v>
      </c>
      <c r="K73" s="19">
        <f t="shared" si="1"/>
        <v>882</v>
      </c>
      <c r="L73" s="4">
        <v>42673</v>
      </c>
      <c r="M73" s="4">
        <v>43251</v>
      </c>
      <c r="N73" s="27">
        <v>20</v>
      </c>
    </row>
    <row r="74" spans="1:14">
      <c r="A74" t="s">
        <v>787</v>
      </c>
      <c r="B74" t="s">
        <v>1505</v>
      </c>
      <c r="C74" s="29" t="s">
        <v>255</v>
      </c>
      <c r="D74" t="s">
        <v>256</v>
      </c>
      <c r="E74" t="s">
        <v>1077</v>
      </c>
      <c r="F74" t="s">
        <v>1078</v>
      </c>
      <c r="G74" t="s">
        <v>855</v>
      </c>
      <c r="H74" s="14" t="s">
        <v>257</v>
      </c>
      <c r="I74" s="23">
        <v>43281</v>
      </c>
      <c r="J74" s="27">
        <v>24</v>
      </c>
      <c r="K74" s="19">
        <f t="shared" si="1"/>
        <v>716</v>
      </c>
      <c r="L74" s="4">
        <v>42552</v>
      </c>
      <c r="M74" s="4">
        <v>43281</v>
      </c>
      <c r="N74" s="27">
        <v>24</v>
      </c>
    </row>
    <row r="75" spans="1:14">
      <c r="A75" t="s">
        <v>909</v>
      </c>
      <c r="B75" t="s">
        <v>934</v>
      </c>
      <c r="C75" s="29" t="s">
        <v>709</v>
      </c>
      <c r="D75" t="s">
        <v>710</v>
      </c>
      <c r="E75" t="s">
        <v>1079</v>
      </c>
      <c r="F75" t="s">
        <v>1080</v>
      </c>
      <c r="G75" t="s">
        <v>918</v>
      </c>
      <c r="H75" s="14" t="s">
        <v>266</v>
      </c>
      <c r="I75" s="14">
        <v>43251</v>
      </c>
      <c r="J75" s="27">
        <v>24</v>
      </c>
      <c r="K75" s="17">
        <f t="shared" si="1"/>
        <v>58</v>
      </c>
      <c r="L75" s="4">
        <v>42580</v>
      </c>
      <c r="M75" s="4">
        <v>43310</v>
      </c>
      <c r="N75" s="27">
        <v>24</v>
      </c>
    </row>
    <row r="76" spans="1:14">
      <c r="A76" t="s">
        <v>782</v>
      </c>
      <c r="B76" t="s">
        <v>1505</v>
      </c>
      <c r="C76" s="8" t="s">
        <v>210</v>
      </c>
      <c r="D76" s="8" t="s">
        <v>211</v>
      </c>
      <c r="E76" t="s">
        <v>1081</v>
      </c>
      <c r="F76" t="s">
        <v>1082</v>
      </c>
      <c r="G76" t="s">
        <v>850</v>
      </c>
      <c r="H76" s="14" t="s">
        <v>212</v>
      </c>
      <c r="I76" s="23">
        <v>43263</v>
      </c>
      <c r="J76" s="27">
        <v>24</v>
      </c>
      <c r="K76" s="19">
        <f t="shared" si="1"/>
        <v>367</v>
      </c>
      <c r="L76" s="4">
        <v>42901</v>
      </c>
      <c r="M76" s="4">
        <v>43630</v>
      </c>
      <c r="N76" s="27">
        <v>24</v>
      </c>
    </row>
    <row r="77" spans="1:14">
      <c r="A77" t="s">
        <v>782</v>
      </c>
      <c r="B77" t="s">
        <v>934</v>
      </c>
      <c r="C77" s="8" t="s">
        <v>559</v>
      </c>
      <c r="D77" s="8" t="s">
        <v>560</v>
      </c>
      <c r="E77" t="s">
        <v>1083</v>
      </c>
      <c r="F77" t="s">
        <v>1084</v>
      </c>
      <c r="G77" t="s">
        <v>850</v>
      </c>
      <c r="H77" s="14" t="s">
        <v>561</v>
      </c>
      <c r="I77" s="14">
        <v>43069</v>
      </c>
      <c r="J77" s="27">
        <v>24</v>
      </c>
      <c r="K77" s="17">
        <f t="shared" si="1"/>
        <v>365</v>
      </c>
      <c r="L77" s="4">
        <v>42871</v>
      </c>
      <c r="M77" s="4">
        <v>43069</v>
      </c>
      <c r="N77" s="27">
        <v>24</v>
      </c>
    </row>
    <row r="78" spans="1:14">
      <c r="A78" t="s">
        <v>782</v>
      </c>
      <c r="B78" t="s">
        <v>934</v>
      </c>
      <c r="C78" s="8" t="s">
        <v>562</v>
      </c>
      <c r="D78" s="8" t="s">
        <v>563</v>
      </c>
      <c r="E78" t="s">
        <v>1085</v>
      </c>
      <c r="F78" t="s">
        <v>1086</v>
      </c>
      <c r="G78" t="s">
        <v>850</v>
      </c>
      <c r="H78" s="14" t="s">
        <v>140</v>
      </c>
      <c r="I78" s="23">
        <v>43281</v>
      </c>
      <c r="J78" s="27">
        <v>24</v>
      </c>
      <c r="K78" s="17">
        <f t="shared" si="1"/>
        <v>365</v>
      </c>
      <c r="L78" s="4">
        <v>42917</v>
      </c>
      <c r="M78" s="4">
        <v>43646</v>
      </c>
      <c r="N78" s="27">
        <v>24</v>
      </c>
    </row>
    <row r="79" spans="1:14">
      <c r="A79" t="s">
        <v>835</v>
      </c>
      <c r="B79" t="s">
        <v>1505</v>
      </c>
      <c r="C79" s="9" t="s">
        <v>481</v>
      </c>
      <c r="D79" s="20" t="s">
        <v>482</v>
      </c>
      <c r="E79" t="s">
        <v>1087</v>
      </c>
      <c r="F79" t="s">
        <v>1088</v>
      </c>
      <c r="G79" t="s">
        <v>903</v>
      </c>
      <c r="H79" s="14" t="s">
        <v>483</v>
      </c>
      <c r="I79" s="23">
        <v>43131</v>
      </c>
      <c r="J79" s="27">
        <v>24</v>
      </c>
      <c r="K79" s="19">
        <f t="shared" si="1"/>
        <v>92</v>
      </c>
      <c r="L79" s="4">
        <v>41640</v>
      </c>
      <c r="M79" s="4">
        <v>43131</v>
      </c>
      <c r="N79" s="27">
        <v>24</v>
      </c>
    </row>
    <row r="80" spans="1:14">
      <c r="A80" t="s">
        <v>835</v>
      </c>
      <c r="B80" t="s">
        <v>934</v>
      </c>
      <c r="C80" s="9" t="s">
        <v>761</v>
      </c>
      <c r="D80" s="20" t="s">
        <v>762</v>
      </c>
      <c r="E80" t="s">
        <v>1089</v>
      </c>
      <c r="F80" t="s">
        <v>1090</v>
      </c>
      <c r="G80" t="s">
        <v>903</v>
      </c>
      <c r="H80" s="14" t="s">
        <v>462</v>
      </c>
      <c r="I80" s="23">
        <v>43100</v>
      </c>
      <c r="J80" s="27">
        <v>24</v>
      </c>
      <c r="K80" s="17">
        <f t="shared" si="1"/>
        <v>-2466</v>
      </c>
      <c r="L80" s="4">
        <v>39904</v>
      </c>
      <c r="M80" s="4">
        <v>43100</v>
      </c>
      <c r="N80" s="27">
        <v>24</v>
      </c>
    </row>
    <row r="81" spans="1:14">
      <c r="A81" t="s">
        <v>835</v>
      </c>
      <c r="B81" t="s">
        <v>934</v>
      </c>
      <c r="C81" s="9" t="s">
        <v>763</v>
      </c>
      <c r="D81" s="20" t="s">
        <v>764</v>
      </c>
      <c r="E81" t="s">
        <v>1091</v>
      </c>
      <c r="F81" t="s">
        <v>1092</v>
      </c>
      <c r="G81" t="s">
        <v>903</v>
      </c>
      <c r="H81" s="14" t="s">
        <v>765</v>
      </c>
      <c r="I81" s="23">
        <v>43964</v>
      </c>
      <c r="J81" s="27">
        <v>36</v>
      </c>
      <c r="K81" s="17">
        <f t="shared" si="1"/>
        <v>17</v>
      </c>
      <c r="L81" s="4">
        <v>42887</v>
      </c>
      <c r="M81" s="4">
        <v>43964</v>
      </c>
      <c r="N81" s="27">
        <v>36</v>
      </c>
    </row>
    <row r="82" spans="1:14">
      <c r="A82" t="s">
        <v>910</v>
      </c>
      <c r="B82" t="s">
        <v>934</v>
      </c>
      <c r="C82" s="29" t="s">
        <v>714</v>
      </c>
      <c r="D82" t="s">
        <v>715</v>
      </c>
      <c r="E82" t="s">
        <v>1093</v>
      </c>
      <c r="F82" t="s">
        <v>1094</v>
      </c>
      <c r="G82" t="s">
        <v>919</v>
      </c>
      <c r="H82" s="14" t="s">
        <v>118</v>
      </c>
      <c r="I82" s="23">
        <v>43100</v>
      </c>
      <c r="J82" s="27">
        <v>12</v>
      </c>
      <c r="K82" s="17">
        <f t="shared" si="1"/>
        <v>305</v>
      </c>
      <c r="L82" s="4">
        <v>42644</v>
      </c>
      <c r="M82" s="4">
        <v>43373</v>
      </c>
      <c r="N82" s="27">
        <v>12</v>
      </c>
    </row>
    <row r="83" spans="1:14">
      <c r="A83" t="s">
        <v>910</v>
      </c>
      <c r="B83" t="s">
        <v>934</v>
      </c>
      <c r="C83" s="29" t="s">
        <v>716</v>
      </c>
      <c r="D83" t="s">
        <v>717</v>
      </c>
      <c r="E83" t="s">
        <v>1095</v>
      </c>
      <c r="F83" t="s">
        <v>1096</v>
      </c>
      <c r="G83" t="s">
        <v>919</v>
      </c>
      <c r="H83" s="14" t="s">
        <v>281</v>
      </c>
      <c r="I83" s="23">
        <v>43219</v>
      </c>
      <c r="J83" s="27">
        <v>12</v>
      </c>
      <c r="K83" s="17">
        <f t="shared" si="1"/>
        <v>-1096</v>
      </c>
      <c r="L83" s="4">
        <v>41395</v>
      </c>
      <c r="M83" s="4">
        <v>43219</v>
      </c>
      <c r="N83" s="27">
        <v>12</v>
      </c>
    </row>
    <row r="84" spans="1:14">
      <c r="A84" t="s">
        <v>910</v>
      </c>
      <c r="B84" t="s">
        <v>934</v>
      </c>
      <c r="C84" s="29" t="s">
        <v>718</v>
      </c>
      <c r="D84" t="s">
        <v>719</v>
      </c>
      <c r="E84" t="s">
        <v>1097</v>
      </c>
      <c r="F84" t="s">
        <v>1098</v>
      </c>
      <c r="G84" t="s">
        <v>919</v>
      </c>
      <c r="H84" s="14" t="s">
        <v>67</v>
      </c>
      <c r="I84" s="23">
        <v>43433</v>
      </c>
      <c r="J84" s="27">
        <v>24</v>
      </c>
      <c r="K84" s="17">
        <f t="shared" si="1"/>
        <v>-30</v>
      </c>
      <c r="L84" s="4">
        <v>42675</v>
      </c>
      <c r="M84" s="4">
        <v>43404</v>
      </c>
      <c r="N84" s="27">
        <v>24</v>
      </c>
    </row>
    <row r="85" spans="1:14">
      <c r="A85" t="s">
        <v>769</v>
      </c>
      <c r="B85" t="s">
        <v>1505</v>
      </c>
      <c r="C85" s="29" t="s">
        <v>119</v>
      </c>
      <c r="D85" t="s">
        <v>120</v>
      </c>
      <c r="E85" t="s">
        <v>1099</v>
      </c>
      <c r="F85" t="s">
        <v>1100</v>
      </c>
      <c r="G85" t="s">
        <v>837</v>
      </c>
      <c r="H85" s="14" t="s">
        <v>121</v>
      </c>
      <c r="I85" s="14">
        <v>43159</v>
      </c>
      <c r="J85" s="27">
        <v>24</v>
      </c>
      <c r="K85" s="19">
        <f t="shared" si="1"/>
        <v>760</v>
      </c>
      <c r="L85" s="4">
        <v>42339</v>
      </c>
      <c r="M85" s="4">
        <v>43069</v>
      </c>
      <c r="N85" s="27">
        <v>24</v>
      </c>
    </row>
    <row r="86" spans="1:14">
      <c r="A86" t="s">
        <v>769</v>
      </c>
      <c r="B86" t="s">
        <v>1505</v>
      </c>
      <c r="C86" s="29" t="s">
        <v>122</v>
      </c>
      <c r="D86" t="s">
        <v>123</v>
      </c>
      <c r="E86" t="s">
        <v>1101</v>
      </c>
      <c r="F86" t="s">
        <v>1102</v>
      </c>
      <c r="G86" t="s">
        <v>837</v>
      </c>
      <c r="H86" s="14" t="s">
        <v>25</v>
      </c>
      <c r="I86" s="14">
        <v>43312</v>
      </c>
      <c r="J86" s="27">
        <v>24</v>
      </c>
      <c r="K86" s="19">
        <f t="shared" si="1"/>
        <v>88</v>
      </c>
      <c r="L86" s="4">
        <v>41879</v>
      </c>
      <c r="M86" s="4">
        <v>43312</v>
      </c>
      <c r="N86" s="27">
        <v>24</v>
      </c>
    </row>
    <row r="87" spans="1:14">
      <c r="A87" t="s">
        <v>769</v>
      </c>
      <c r="B87" t="s">
        <v>1505</v>
      </c>
      <c r="C87" s="29" t="s">
        <v>124</v>
      </c>
      <c r="D87" t="s">
        <v>125</v>
      </c>
      <c r="E87" t="s">
        <v>1103</v>
      </c>
      <c r="F87" t="s">
        <v>1104</v>
      </c>
      <c r="G87" t="s">
        <v>837</v>
      </c>
      <c r="H87" s="14" t="s">
        <v>126</v>
      </c>
      <c r="I87" s="14">
        <v>43343</v>
      </c>
      <c r="J87" s="27">
        <v>24</v>
      </c>
      <c r="K87" s="19">
        <f t="shared" si="1"/>
        <v>59</v>
      </c>
      <c r="L87" s="4">
        <v>41911</v>
      </c>
      <c r="M87" s="4">
        <v>43343</v>
      </c>
      <c r="N87" s="27">
        <v>24</v>
      </c>
    </row>
    <row r="88" spans="1:14">
      <c r="A88" t="s">
        <v>769</v>
      </c>
      <c r="B88" t="s">
        <v>1505</v>
      </c>
      <c r="C88" s="29" t="s">
        <v>127</v>
      </c>
      <c r="D88" t="s">
        <v>128</v>
      </c>
      <c r="E88" t="s">
        <v>1105</v>
      </c>
      <c r="F88" t="s">
        <v>1106</v>
      </c>
      <c r="G88" t="s">
        <v>837</v>
      </c>
      <c r="H88" s="14" t="s">
        <v>111</v>
      </c>
      <c r="I88" s="14">
        <v>43524</v>
      </c>
      <c r="J88" s="27">
        <v>24</v>
      </c>
      <c r="K88" s="19">
        <f t="shared" si="1"/>
        <v>420</v>
      </c>
      <c r="L88" s="4">
        <v>42060</v>
      </c>
      <c r="M88" s="4">
        <v>43524</v>
      </c>
      <c r="N88" s="27">
        <v>24</v>
      </c>
    </row>
    <row r="89" spans="1:14">
      <c r="A89" t="s">
        <v>769</v>
      </c>
      <c r="B89" t="s">
        <v>1505</v>
      </c>
      <c r="C89" s="29" t="s">
        <v>129</v>
      </c>
      <c r="D89" t="s">
        <v>130</v>
      </c>
      <c r="E89" t="s">
        <v>1107</v>
      </c>
      <c r="F89" t="s">
        <v>1108</v>
      </c>
      <c r="G89" t="s">
        <v>837</v>
      </c>
      <c r="H89" s="14" t="s">
        <v>115</v>
      </c>
      <c r="I89" s="14">
        <v>43738</v>
      </c>
      <c r="J89" s="27">
        <v>24</v>
      </c>
      <c r="K89" s="19">
        <f t="shared" si="1"/>
        <v>793</v>
      </c>
      <c r="L89" s="4">
        <v>42979</v>
      </c>
      <c r="M89" s="4">
        <v>43738</v>
      </c>
      <c r="N89" s="27">
        <v>24</v>
      </c>
    </row>
    <row r="90" spans="1:14">
      <c r="A90" t="s">
        <v>769</v>
      </c>
      <c r="B90" t="s">
        <v>1505</v>
      </c>
      <c r="C90" s="29" t="s">
        <v>131</v>
      </c>
      <c r="D90" t="s">
        <v>132</v>
      </c>
      <c r="E90" t="s">
        <v>1109</v>
      </c>
      <c r="F90" t="s">
        <v>1110</v>
      </c>
      <c r="G90" t="s">
        <v>837</v>
      </c>
      <c r="H90" s="14" t="s">
        <v>133</v>
      </c>
      <c r="I90" s="14">
        <v>43496</v>
      </c>
      <c r="J90" s="27">
        <v>24</v>
      </c>
      <c r="K90" s="19">
        <f t="shared" si="1"/>
        <v>-161</v>
      </c>
      <c r="L90" s="4">
        <v>42606</v>
      </c>
      <c r="M90" s="4">
        <v>43496</v>
      </c>
      <c r="N90" s="27">
        <v>24</v>
      </c>
    </row>
    <row r="91" spans="1:14">
      <c r="A91" t="s">
        <v>769</v>
      </c>
      <c r="B91" t="s">
        <v>934</v>
      </c>
      <c r="C91" s="29" t="s">
        <v>522</v>
      </c>
      <c r="D91" t="s">
        <v>523</v>
      </c>
      <c r="E91" t="s">
        <v>1111</v>
      </c>
      <c r="F91" t="s">
        <v>1112</v>
      </c>
      <c r="G91" t="s">
        <v>837</v>
      </c>
      <c r="H91" s="14" t="s">
        <v>133</v>
      </c>
      <c r="I91" s="14">
        <v>44227</v>
      </c>
      <c r="J91" s="27">
        <v>48</v>
      </c>
      <c r="K91" s="17">
        <f t="shared" si="1"/>
        <v>-30</v>
      </c>
      <c r="L91" s="4">
        <v>42737</v>
      </c>
      <c r="M91" s="4">
        <v>44561</v>
      </c>
      <c r="N91" s="27">
        <v>48</v>
      </c>
    </row>
    <row r="92" spans="1:14">
      <c r="A92" t="s">
        <v>912</v>
      </c>
      <c r="B92" t="s">
        <v>934</v>
      </c>
      <c r="C92" s="29" t="s">
        <v>736</v>
      </c>
      <c r="D92" t="s">
        <v>737</v>
      </c>
      <c r="E92" t="s">
        <v>1113</v>
      </c>
      <c r="F92" t="s">
        <v>1114</v>
      </c>
      <c r="G92" t="s">
        <v>921</v>
      </c>
      <c r="H92" s="14" t="s">
        <v>738</v>
      </c>
      <c r="I92" s="23">
        <v>43172</v>
      </c>
      <c r="J92" s="27">
        <v>24</v>
      </c>
      <c r="K92" s="17">
        <f t="shared" si="1"/>
        <v>-56</v>
      </c>
      <c r="L92" s="4">
        <v>42387</v>
      </c>
      <c r="M92" s="4">
        <v>43117</v>
      </c>
      <c r="N92" s="27">
        <v>24</v>
      </c>
    </row>
    <row r="93" spans="1:14">
      <c r="A93" t="s">
        <v>796</v>
      </c>
      <c r="B93" t="s">
        <v>1505</v>
      </c>
      <c r="C93" s="29" t="s">
        <v>44</v>
      </c>
      <c r="D93" t="s">
        <v>45</v>
      </c>
      <c r="E93" t="s">
        <v>1115</v>
      </c>
      <c r="F93" t="s">
        <v>1116</v>
      </c>
      <c r="G93" t="s">
        <v>864</v>
      </c>
      <c r="H93" s="14" t="s">
        <v>46</v>
      </c>
      <c r="I93" s="14">
        <v>43373</v>
      </c>
      <c r="J93" s="27">
        <v>15</v>
      </c>
      <c r="K93" s="19">
        <f t="shared" si="1"/>
        <v>-89</v>
      </c>
      <c r="L93" s="4">
        <v>41671</v>
      </c>
      <c r="M93" s="4">
        <v>43343</v>
      </c>
      <c r="N93" s="27">
        <v>12</v>
      </c>
    </row>
    <row r="94" spans="1:14">
      <c r="A94" t="s">
        <v>796</v>
      </c>
      <c r="B94" t="s">
        <v>1505</v>
      </c>
      <c r="C94" s="29" t="s">
        <v>277</v>
      </c>
      <c r="D94" t="s">
        <v>278</v>
      </c>
      <c r="E94" t="s">
        <v>1117</v>
      </c>
      <c r="F94" t="s">
        <v>1118</v>
      </c>
      <c r="G94" t="s">
        <v>864</v>
      </c>
      <c r="H94" s="14" t="s">
        <v>221</v>
      </c>
      <c r="I94" s="14">
        <v>43434</v>
      </c>
      <c r="J94" s="27">
        <v>24</v>
      </c>
      <c r="K94" s="19">
        <f t="shared" si="1"/>
        <v>731</v>
      </c>
      <c r="L94" s="4">
        <v>42705</v>
      </c>
      <c r="M94" s="4">
        <v>43434</v>
      </c>
      <c r="N94" s="27">
        <v>24</v>
      </c>
    </row>
    <row r="95" spans="1:14">
      <c r="A95" t="s">
        <v>796</v>
      </c>
      <c r="B95" t="s">
        <v>1505</v>
      </c>
      <c r="C95" s="29" t="s">
        <v>279</v>
      </c>
      <c r="D95" t="s">
        <v>280</v>
      </c>
      <c r="E95" t="s">
        <v>1119</v>
      </c>
      <c r="F95" t="s">
        <v>1120</v>
      </c>
      <c r="G95" t="s">
        <v>864</v>
      </c>
      <c r="H95" s="14" t="s">
        <v>16</v>
      </c>
      <c r="I95" s="14">
        <v>44165</v>
      </c>
      <c r="J95" s="27">
        <v>30</v>
      </c>
      <c r="K95" s="19">
        <f t="shared" si="1"/>
        <v>365</v>
      </c>
      <c r="L95" s="4">
        <v>42370</v>
      </c>
      <c r="M95" s="6">
        <v>44165</v>
      </c>
      <c r="N95" s="27">
        <v>30</v>
      </c>
    </row>
    <row r="96" spans="1:14">
      <c r="A96" t="s">
        <v>905</v>
      </c>
      <c r="B96" t="s">
        <v>934</v>
      </c>
      <c r="C96" s="29" t="s">
        <v>622</v>
      </c>
      <c r="D96" t="s">
        <v>623</v>
      </c>
      <c r="E96" t="s">
        <v>1121</v>
      </c>
      <c r="F96" t="s">
        <v>1122</v>
      </c>
      <c r="G96" t="s">
        <v>914</v>
      </c>
      <c r="H96" s="14" t="s">
        <v>13</v>
      </c>
      <c r="I96" s="23">
        <v>43553</v>
      </c>
      <c r="J96" s="27">
        <v>24</v>
      </c>
      <c r="K96" s="17">
        <f t="shared" si="1"/>
        <v>-31</v>
      </c>
      <c r="L96" s="4">
        <v>42795</v>
      </c>
      <c r="M96" s="4">
        <v>43524</v>
      </c>
      <c r="N96" s="27">
        <v>24</v>
      </c>
    </row>
    <row r="97" spans="1:14">
      <c r="A97" t="s">
        <v>822</v>
      </c>
      <c r="B97" t="s">
        <v>1505</v>
      </c>
      <c r="C97" s="29" t="s">
        <v>423</v>
      </c>
      <c r="D97" t="s">
        <v>424</v>
      </c>
      <c r="E97" t="s">
        <v>1123</v>
      </c>
      <c r="F97" t="s">
        <v>1124</v>
      </c>
      <c r="G97" t="s">
        <v>890</v>
      </c>
      <c r="H97" s="14" t="s">
        <v>425</v>
      </c>
      <c r="I97" s="14">
        <v>43250</v>
      </c>
      <c r="J97" s="27">
        <v>24</v>
      </c>
      <c r="K97" s="19">
        <f t="shared" si="1"/>
        <v>622</v>
      </c>
      <c r="L97" s="4">
        <v>42522</v>
      </c>
      <c r="M97" s="4">
        <v>43250</v>
      </c>
      <c r="N97" s="27">
        <v>24</v>
      </c>
    </row>
    <row r="98" spans="1:14">
      <c r="A98" t="s">
        <v>822</v>
      </c>
      <c r="B98" t="s">
        <v>934</v>
      </c>
      <c r="C98" s="29" t="s">
        <v>720</v>
      </c>
      <c r="D98" t="s">
        <v>721</v>
      </c>
      <c r="E98" t="s">
        <v>1125</v>
      </c>
      <c r="F98" t="s">
        <v>1126</v>
      </c>
      <c r="G98" t="s">
        <v>890</v>
      </c>
      <c r="H98" s="14" t="s">
        <v>722</v>
      </c>
      <c r="I98" s="14">
        <v>43621</v>
      </c>
      <c r="J98" s="27">
        <v>24</v>
      </c>
      <c r="K98" s="17">
        <f t="shared" si="1"/>
        <v>-37</v>
      </c>
      <c r="L98" s="4">
        <v>42856</v>
      </c>
      <c r="M98" s="4">
        <v>43585</v>
      </c>
      <c r="N98" s="27">
        <v>24</v>
      </c>
    </row>
    <row r="99" spans="1:14">
      <c r="A99" t="s">
        <v>822</v>
      </c>
      <c r="B99" t="s">
        <v>934</v>
      </c>
      <c r="C99" s="29" t="s">
        <v>723</v>
      </c>
      <c r="D99" t="s">
        <v>724</v>
      </c>
      <c r="E99" t="s">
        <v>1127</v>
      </c>
      <c r="F99" t="s">
        <v>1128</v>
      </c>
      <c r="G99" t="s">
        <v>890</v>
      </c>
      <c r="H99" s="14" t="s">
        <v>203</v>
      </c>
      <c r="I99" s="14">
        <v>43584</v>
      </c>
      <c r="J99" s="27">
        <v>24</v>
      </c>
      <c r="K99" s="17">
        <f t="shared" si="1"/>
        <v>-61</v>
      </c>
      <c r="L99" s="4">
        <v>42795</v>
      </c>
      <c r="M99" s="4">
        <v>43524</v>
      </c>
      <c r="N99" s="27">
        <v>24</v>
      </c>
    </row>
    <row r="100" spans="1:14">
      <c r="A100" t="s">
        <v>822</v>
      </c>
      <c r="B100" t="s">
        <v>934</v>
      </c>
      <c r="C100" s="29" t="s">
        <v>725</v>
      </c>
      <c r="D100" t="s">
        <v>726</v>
      </c>
      <c r="E100" t="s">
        <v>1129</v>
      </c>
      <c r="F100" t="s">
        <v>1130</v>
      </c>
      <c r="G100" t="s">
        <v>890</v>
      </c>
      <c r="H100" s="14" t="s">
        <v>287</v>
      </c>
      <c r="I100" s="23">
        <v>43616</v>
      </c>
      <c r="J100" s="27">
        <v>24</v>
      </c>
      <c r="K100" s="17">
        <f t="shared" si="1"/>
        <v>30</v>
      </c>
      <c r="L100" s="4">
        <v>42917</v>
      </c>
      <c r="M100" s="4">
        <v>43646</v>
      </c>
      <c r="N100" s="27">
        <v>24</v>
      </c>
    </row>
    <row r="101" spans="1:14">
      <c r="A101" t="s">
        <v>834</v>
      </c>
      <c r="B101" t="s">
        <v>1505</v>
      </c>
      <c r="C101" s="29" t="s">
        <v>479</v>
      </c>
      <c r="D101" t="s">
        <v>480</v>
      </c>
      <c r="E101" t="s">
        <v>1131</v>
      </c>
      <c r="F101" t="s">
        <v>1132</v>
      </c>
      <c r="G101" t="s">
        <v>902</v>
      </c>
      <c r="H101" s="14" t="s">
        <v>260</v>
      </c>
      <c r="I101" s="14">
        <v>43362</v>
      </c>
      <c r="J101" s="27">
        <v>24</v>
      </c>
      <c r="K101" s="19">
        <f t="shared" si="1"/>
        <v>232</v>
      </c>
      <c r="L101" s="4">
        <v>42633</v>
      </c>
      <c r="M101" s="4">
        <v>43362</v>
      </c>
      <c r="N101" s="27">
        <v>24</v>
      </c>
    </row>
    <row r="102" spans="1:14">
      <c r="A102" t="s">
        <v>834</v>
      </c>
      <c r="B102" t="s">
        <v>934</v>
      </c>
      <c r="C102" s="29" t="s">
        <v>759</v>
      </c>
      <c r="D102" t="s">
        <v>760</v>
      </c>
      <c r="E102" t="s">
        <v>1133</v>
      </c>
      <c r="F102" t="s">
        <v>1134</v>
      </c>
      <c r="G102" t="s">
        <v>902</v>
      </c>
      <c r="H102" s="14" t="s">
        <v>462</v>
      </c>
      <c r="I102" s="14">
        <v>43100</v>
      </c>
      <c r="J102" s="27">
        <v>24</v>
      </c>
      <c r="K102" s="17">
        <f t="shared" si="1"/>
        <v>-31</v>
      </c>
      <c r="L102" s="4">
        <v>42339</v>
      </c>
      <c r="M102" s="6">
        <v>43100</v>
      </c>
      <c r="N102" s="27">
        <v>24</v>
      </c>
    </row>
    <row r="103" spans="1:14">
      <c r="A103" t="s">
        <v>810</v>
      </c>
      <c r="B103" t="s">
        <v>1505</v>
      </c>
      <c r="C103" s="29" t="s">
        <v>344</v>
      </c>
      <c r="D103" t="s">
        <v>345</v>
      </c>
      <c r="E103" t="s">
        <v>1135</v>
      </c>
      <c r="F103" t="s">
        <v>1136</v>
      </c>
      <c r="G103" t="s">
        <v>878</v>
      </c>
      <c r="H103" s="14" t="s">
        <v>346</v>
      </c>
      <c r="I103" s="23">
        <v>43274</v>
      </c>
      <c r="J103" s="27">
        <v>26</v>
      </c>
      <c r="K103" s="19">
        <f t="shared" si="1"/>
        <v>730</v>
      </c>
      <c r="L103" s="4">
        <v>41753</v>
      </c>
      <c r="M103" s="4">
        <v>42908</v>
      </c>
      <c r="N103" s="27">
        <v>26</v>
      </c>
    </row>
    <row r="104" spans="1:14">
      <c r="A104" t="s">
        <v>810</v>
      </c>
      <c r="B104" t="s">
        <v>1505</v>
      </c>
      <c r="C104" s="29" t="s">
        <v>342</v>
      </c>
      <c r="D104" t="s">
        <v>343</v>
      </c>
      <c r="E104" t="s">
        <v>1137</v>
      </c>
      <c r="F104" t="s">
        <v>1138</v>
      </c>
      <c r="G104" t="s">
        <v>878</v>
      </c>
      <c r="H104" s="14" t="s">
        <v>329</v>
      </c>
      <c r="I104" s="14">
        <v>43342</v>
      </c>
      <c r="J104" s="27">
        <v>24</v>
      </c>
      <c r="K104" s="19">
        <f t="shared" si="1"/>
        <v>1061</v>
      </c>
      <c r="L104" s="4">
        <v>42675</v>
      </c>
      <c r="M104" s="4">
        <v>43405</v>
      </c>
      <c r="N104" s="27">
        <v>24</v>
      </c>
    </row>
    <row r="105" spans="1:14">
      <c r="A105" t="s">
        <v>810</v>
      </c>
      <c r="B105" t="s">
        <v>1505</v>
      </c>
      <c r="C105" s="29" t="s">
        <v>347</v>
      </c>
      <c r="D105" t="s">
        <v>348</v>
      </c>
      <c r="E105" t="s">
        <v>1139</v>
      </c>
      <c r="F105" t="s">
        <v>1140</v>
      </c>
      <c r="G105" t="s">
        <v>878</v>
      </c>
      <c r="H105" s="14" t="s">
        <v>349</v>
      </c>
      <c r="I105" s="23">
        <v>43115</v>
      </c>
      <c r="J105" s="27">
        <v>24</v>
      </c>
      <c r="K105" s="19">
        <f t="shared" si="1"/>
        <v>661</v>
      </c>
      <c r="L105" s="4">
        <v>42339</v>
      </c>
      <c r="M105" s="4">
        <v>43435</v>
      </c>
      <c r="N105" s="27">
        <v>24</v>
      </c>
    </row>
    <row r="106" spans="1:14">
      <c r="A106" t="s">
        <v>810</v>
      </c>
      <c r="B106" t="s">
        <v>934</v>
      </c>
      <c r="C106" s="29" t="s">
        <v>664</v>
      </c>
      <c r="D106" t="s">
        <v>665</v>
      </c>
      <c r="E106" t="s">
        <v>1141</v>
      </c>
      <c r="F106" t="s">
        <v>1142</v>
      </c>
      <c r="G106" t="s">
        <v>878</v>
      </c>
      <c r="H106" s="14" t="s">
        <v>641</v>
      </c>
      <c r="I106" s="23">
        <v>43230</v>
      </c>
      <c r="J106" s="27">
        <v>24</v>
      </c>
      <c r="K106" s="17">
        <f t="shared" si="1"/>
        <v>-41</v>
      </c>
      <c r="L106" s="4">
        <v>42461</v>
      </c>
      <c r="M106" s="4">
        <v>43191</v>
      </c>
      <c r="N106" s="27">
        <v>24</v>
      </c>
    </row>
    <row r="107" spans="1:14">
      <c r="A107" t="s">
        <v>810</v>
      </c>
      <c r="B107" t="s">
        <v>934</v>
      </c>
      <c r="C107" s="29" t="s">
        <v>661</v>
      </c>
      <c r="D107" t="s">
        <v>662</v>
      </c>
      <c r="E107" t="s">
        <v>1143</v>
      </c>
      <c r="F107" t="s">
        <v>1144</v>
      </c>
      <c r="G107" t="s">
        <v>878</v>
      </c>
      <c r="H107" s="14" t="s">
        <v>663</v>
      </c>
      <c r="I107" s="23">
        <v>43642</v>
      </c>
      <c r="J107" s="27">
        <v>24</v>
      </c>
      <c r="K107" s="17">
        <f t="shared" si="1"/>
        <v>-57</v>
      </c>
      <c r="L107" s="4">
        <v>42856</v>
      </c>
      <c r="M107" s="4">
        <v>43586</v>
      </c>
      <c r="N107" s="27">
        <v>24</v>
      </c>
    </row>
    <row r="108" spans="1:14">
      <c r="A108" t="s">
        <v>783</v>
      </c>
      <c r="B108" t="s">
        <v>1505</v>
      </c>
      <c r="C108" s="29" t="s">
        <v>20</v>
      </c>
      <c r="D108" t="s">
        <v>21</v>
      </c>
      <c r="E108" t="s">
        <v>1145</v>
      </c>
      <c r="F108" t="s">
        <v>1146</v>
      </c>
      <c r="G108" t="s">
        <v>851</v>
      </c>
      <c r="H108" s="14" t="s">
        <v>22</v>
      </c>
      <c r="I108" s="23">
        <v>43131</v>
      </c>
      <c r="J108" s="27">
        <v>24</v>
      </c>
      <c r="K108" s="19">
        <f t="shared" si="1"/>
        <v>5469</v>
      </c>
      <c r="L108" s="4">
        <v>42767</v>
      </c>
      <c r="M108" s="4">
        <v>43131</v>
      </c>
      <c r="N108" s="27">
        <v>12</v>
      </c>
    </row>
    <row r="109" spans="1:14">
      <c r="A109" t="s">
        <v>783</v>
      </c>
      <c r="B109" t="s">
        <v>1505</v>
      </c>
      <c r="C109" s="29" t="s">
        <v>233</v>
      </c>
      <c r="D109" t="s">
        <v>234</v>
      </c>
      <c r="E109" t="s">
        <v>1147</v>
      </c>
      <c r="F109" t="s">
        <v>1148</v>
      </c>
      <c r="G109" t="s">
        <v>851</v>
      </c>
      <c r="H109" s="14" t="s">
        <v>215</v>
      </c>
      <c r="I109" s="23">
        <v>43281</v>
      </c>
      <c r="J109" s="27">
        <v>24</v>
      </c>
      <c r="K109" s="19">
        <f t="shared" si="1"/>
        <v>723</v>
      </c>
      <c r="L109" s="4">
        <v>42552</v>
      </c>
      <c r="M109" s="4">
        <v>43281</v>
      </c>
      <c r="N109" s="27">
        <v>24</v>
      </c>
    </row>
    <row r="110" spans="1:14">
      <c r="A110" t="s">
        <v>783</v>
      </c>
      <c r="B110" t="s">
        <v>1505</v>
      </c>
      <c r="C110" s="29" t="s">
        <v>213</v>
      </c>
      <c r="D110" t="s">
        <v>214</v>
      </c>
      <c r="E110" t="s">
        <v>1149</v>
      </c>
      <c r="F110" t="s">
        <v>1150</v>
      </c>
      <c r="G110" t="s">
        <v>851</v>
      </c>
      <c r="H110" s="14" t="s">
        <v>215</v>
      </c>
      <c r="I110" s="23">
        <v>43554</v>
      </c>
      <c r="J110" s="27">
        <v>24</v>
      </c>
      <c r="K110" s="19">
        <f t="shared" si="1"/>
        <v>997</v>
      </c>
      <c r="L110" s="4">
        <v>42826</v>
      </c>
      <c r="M110" s="4">
        <v>43585</v>
      </c>
      <c r="N110" s="27">
        <v>24</v>
      </c>
    </row>
    <row r="111" spans="1:14">
      <c r="A111" t="s">
        <v>783</v>
      </c>
      <c r="B111" t="s">
        <v>1505</v>
      </c>
      <c r="C111" s="29" t="s">
        <v>216</v>
      </c>
      <c r="D111" t="s">
        <v>217</v>
      </c>
      <c r="E111" t="s">
        <v>1151</v>
      </c>
      <c r="F111" t="s">
        <v>1152</v>
      </c>
      <c r="G111" t="s">
        <v>851</v>
      </c>
      <c r="H111" s="14" t="s">
        <v>218</v>
      </c>
      <c r="I111" s="23">
        <v>43281</v>
      </c>
      <c r="J111" s="27">
        <v>24</v>
      </c>
      <c r="K111" s="19">
        <f t="shared" si="1"/>
        <v>818</v>
      </c>
      <c r="L111" s="4">
        <v>42552</v>
      </c>
      <c r="M111" s="4">
        <v>43281</v>
      </c>
      <c r="N111" s="27">
        <v>24</v>
      </c>
    </row>
    <row r="112" spans="1:14">
      <c r="A112" t="s">
        <v>783</v>
      </c>
      <c r="B112" t="s">
        <v>1505</v>
      </c>
      <c r="C112" s="29" t="s">
        <v>219</v>
      </c>
      <c r="D112" t="s">
        <v>220</v>
      </c>
      <c r="E112" t="s">
        <v>1153</v>
      </c>
      <c r="F112" t="s">
        <v>1154</v>
      </c>
      <c r="G112" t="s">
        <v>851</v>
      </c>
      <c r="H112" s="14" t="s">
        <v>221</v>
      </c>
      <c r="I112" s="23">
        <v>43708</v>
      </c>
      <c r="J112" s="27">
        <v>24</v>
      </c>
      <c r="K112" s="19">
        <f t="shared" si="1"/>
        <v>1005</v>
      </c>
      <c r="L112" s="4">
        <v>42979</v>
      </c>
      <c r="M112" s="4">
        <v>43708</v>
      </c>
      <c r="N112" s="27">
        <v>24</v>
      </c>
    </row>
    <row r="113" spans="1:14">
      <c r="A113" t="s">
        <v>783</v>
      </c>
      <c r="B113" t="s">
        <v>1505</v>
      </c>
      <c r="C113" s="29" t="s">
        <v>222</v>
      </c>
      <c r="D113" t="s">
        <v>223</v>
      </c>
      <c r="E113" t="s">
        <v>1155</v>
      </c>
      <c r="F113" t="s">
        <v>1156</v>
      </c>
      <c r="G113" t="s">
        <v>851</v>
      </c>
      <c r="H113" s="14" t="s">
        <v>221</v>
      </c>
      <c r="I113" s="23">
        <v>43403</v>
      </c>
      <c r="J113" s="27">
        <v>24</v>
      </c>
      <c r="K113" s="19">
        <f t="shared" si="1"/>
        <v>701</v>
      </c>
      <c r="L113" s="4">
        <v>42675</v>
      </c>
      <c r="M113" s="4">
        <v>43403</v>
      </c>
      <c r="N113" s="27">
        <v>24</v>
      </c>
    </row>
    <row r="114" spans="1:14">
      <c r="A114" t="s">
        <v>783</v>
      </c>
      <c r="B114" t="s">
        <v>1505</v>
      </c>
      <c r="C114" s="29" t="s">
        <v>224</v>
      </c>
      <c r="D114" t="s">
        <v>225</v>
      </c>
      <c r="E114" t="s">
        <v>1157</v>
      </c>
      <c r="F114" t="s">
        <v>1158</v>
      </c>
      <c r="G114" t="s">
        <v>851</v>
      </c>
      <c r="H114" s="14" t="s">
        <v>186</v>
      </c>
      <c r="I114" s="23">
        <v>43554</v>
      </c>
      <c r="J114" s="27">
        <v>24</v>
      </c>
      <c r="K114" s="19">
        <f t="shared" si="1"/>
        <v>731</v>
      </c>
      <c r="L114" s="4">
        <v>42826</v>
      </c>
      <c r="M114" s="4">
        <v>43554</v>
      </c>
      <c r="N114" s="27">
        <v>24</v>
      </c>
    </row>
    <row r="115" spans="1:14">
      <c r="A115" t="s">
        <v>783</v>
      </c>
      <c r="B115" t="s">
        <v>1505</v>
      </c>
      <c r="C115" s="29" t="s">
        <v>226</v>
      </c>
      <c r="D115" t="s">
        <v>227</v>
      </c>
      <c r="E115" t="s">
        <v>1159</v>
      </c>
      <c r="F115" t="s">
        <v>1160</v>
      </c>
      <c r="G115" t="s">
        <v>851</v>
      </c>
      <c r="H115" s="14" t="s">
        <v>228</v>
      </c>
      <c r="I115" s="23">
        <v>43524</v>
      </c>
      <c r="J115" s="27">
        <v>24</v>
      </c>
      <c r="K115" s="19">
        <f t="shared" si="1"/>
        <v>658</v>
      </c>
      <c r="L115" s="4">
        <v>42795</v>
      </c>
      <c r="M115" s="4">
        <v>43524</v>
      </c>
      <c r="N115" s="27">
        <v>24</v>
      </c>
    </row>
    <row r="116" spans="1:14" ht="13.5" thickBot="1">
      <c r="A116" t="s">
        <v>783</v>
      </c>
      <c r="B116" t="s">
        <v>1505</v>
      </c>
      <c r="C116" s="29" t="s">
        <v>229</v>
      </c>
      <c r="D116" t="s">
        <v>230</v>
      </c>
      <c r="E116" t="s">
        <v>1161</v>
      </c>
      <c r="F116" t="s">
        <v>1162</v>
      </c>
      <c r="G116" t="s">
        <v>851</v>
      </c>
      <c r="H116" s="14" t="s">
        <v>115</v>
      </c>
      <c r="I116" s="23">
        <v>43646</v>
      </c>
      <c r="J116" s="27">
        <v>24</v>
      </c>
      <c r="K116" s="19">
        <f t="shared" si="1"/>
        <v>731</v>
      </c>
      <c r="L116" s="4">
        <v>42917</v>
      </c>
      <c r="M116" s="4">
        <v>43646</v>
      </c>
      <c r="N116" s="27">
        <v>24</v>
      </c>
    </row>
    <row r="117" spans="1:14" ht="13.5" thickBot="1">
      <c r="A117" t="s">
        <v>783</v>
      </c>
      <c r="B117" t="s">
        <v>1505</v>
      </c>
      <c r="C117" s="31" t="s">
        <v>231</v>
      </c>
      <c r="D117" s="12" t="s">
        <v>232</v>
      </c>
      <c r="E117" t="s">
        <v>1163</v>
      </c>
      <c r="F117" t="s">
        <v>1164</v>
      </c>
      <c r="G117" t="s">
        <v>851</v>
      </c>
      <c r="H117" s="14" t="s">
        <v>19</v>
      </c>
      <c r="I117" s="23">
        <v>43677</v>
      </c>
      <c r="J117" s="27">
        <v>24</v>
      </c>
      <c r="K117" s="19">
        <f t="shared" si="1"/>
        <v>731</v>
      </c>
      <c r="L117" s="4">
        <v>42948</v>
      </c>
      <c r="M117" s="4">
        <v>43677</v>
      </c>
      <c r="N117" s="27">
        <v>24</v>
      </c>
    </row>
    <row r="118" spans="1:14">
      <c r="A118" t="s">
        <v>783</v>
      </c>
      <c r="B118" t="s">
        <v>1505</v>
      </c>
      <c r="C118" s="29" t="s">
        <v>235</v>
      </c>
      <c r="D118" t="s">
        <v>236</v>
      </c>
      <c r="E118" t="s">
        <v>1165</v>
      </c>
      <c r="F118" t="s">
        <v>1166</v>
      </c>
      <c r="G118" t="s">
        <v>851</v>
      </c>
      <c r="H118" s="14" t="s">
        <v>140</v>
      </c>
      <c r="I118" s="23">
        <v>43404</v>
      </c>
      <c r="J118" s="27">
        <v>24</v>
      </c>
      <c r="K118" s="19">
        <f t="shared" si="1"/>
        <v>123</v>
      </c>
      <c r="L118" s="4">
        <v>42675</v>
      </c>
      <c r="M118" s="4">
        <v>43404</v>
      </c>
      <c r="N118" s="27">
        <v>24</v>
      </c>
    </row>
    <row r="119" spans="1:14">
      <c r="A119" t="s">
        <v>813</v>
      </c>
      <c r="B119" t="s">
        <v>934</v>
      </c>
      <c r="C119" s="29" t="s">
        <v>495</v>
      </c>
      <c r="D119" t="s">
        <v>496</v>
      </c>
      <c r="E119" t="s">
        <v>1167</v>
      </c>
      <c r="F119" t="s">
        <v>1168</v>
      </c>
      <c r="G119" t="s">
        <v>881</v>
      </c>
      <c r="H119" s="14" t="s">
        <v>52</v>
      </c>
      <c r="I119" s="23">
        <v>43189</v>
      </c>
      <c r="J119" s="27">
        <v>24</v>
      </c>
      <c r="K119" s="17">
        <f t="shared" si="1"/>
        <v>1095</v>
      </c>
      <c r="L119" s="4">
        <v>42825</v>
      </c>
      <c r="M119" s="4">
        <v>42825</v>
      </c>
      <c r="N119" s="27">
        <v>36</v>
      </c>
    </row>
    <row r="120" spans="1:14">
      <c r="A120" t="s">
        <v>813</v>
      </c>
      <c r="B120" t="s">
        <v>934</v>
      </c>
      <c r="C120" s="29" t="s">
        <v>673</v>
      </c>
      <c r="D120" t="s">
        <v>674</v>
      </c>
      <c r="E120" t="s">
        <v>1169</v>
      </c>
      <c r="F120" t="s">
        <v>1170</v>
      </c>
      <c r="G120" t="s">
        <v>881</v>
      </c>
      <c r="H120" s="14" t="s">
        <v>462</v>
      </c>
      <c r="I120" s="14">
        <v>43131</v>
      </c>
      <c r="J120" s="27">
        <v>24</v>
      </c>
      <c r="K120" s="17">
        <f t="shared" si="1"/>
        <v>-32</v>
      </c>
      <c r="L120" s="4">
        <v>42338</v>
      </c>
      <c r="M120" s="6">
        <v>43131</v>
      </c>
      <c r="N120" s="27">
        <v>24</v>
      </c>
    </row>
    <row r="121" spans="1:14">
      <c r="A121" t="s">
        <v>823</v>
      </c>
      <c r="B121" t="s">
        <v>1505</v>
      </c>
      <c r="C121" s="29" t="s">
        <v>92</v>
      </c>
      <c r="D121" t="s">
        <v>93</v>
      </c>
      <c r="E121" t="s">
        <v>1171</v>
      </c>
      <c r="F121" t="s">
        <v>1172</v>
      </c>
      <c r="G121" t="s">
        <v>891</v>
      </c>
      <c r="H121" s="14" t="s">
        <v>94</v>
      </c>
      <c r="I121" s="14">
        <v>43131</v>
      </c>
      <c r="J121" s="27">
        <v>24</v>
      </c>
      <c r="K121" s="19">
        <f t="shared" si="1"/>
        <v>2557</v>
      </c>
      <c r="L121" s="4">
        <v>41944</v>
      </c>
      <c r="M121" s="6">
        <v>43131</v>
      </c>
      <c r="N121" s="27">
        <v>26</v>
      </c>
    </row>
    <row r="122" spans="1:14">
      <c r="A122" t="s">
        <v>823</v>
      </c>
      <c r="B122" t="s">
        <v>1505</v>
      </c>
      <c r="C122" s="29" t="s">
        <v>426</v>
      </c>
      <c r="D122" t="s">
        <v>427</v>
      </c>
      <c r="E122" t="s">
        <v>1173</v>
      </c>
      <c r="F122" t="s">
        <v>1174</v>
      </c>
      <c r="G122" t="s">
        <v>891</v>
      </c>
      <c r="H122" s="14" t="s">
        <v>428</v>
      </c>
      <c r="I122" s="14">
        <v>43125</v>
      </c>
      <c r="J122" s="27">
        <v>24</v>
      </c>
      <c r="K122" s="19">
        <f t="shared" si="1"/>
        <v>1494</v>
      </c>
      <c r="L122" s="4">
        <v>42370</v>
      </c>
      <c r="M122" s="6">
        <v>43125</v>
      </c>
      <c r="N122" s="27">
        <v>24</v>
      </c>
    </row>
    <row r="123" spans="1:14">
      <c r="A123" t="s">
        <v>823</v>
      </c>
      <c r="B123" t="s">
        <v>1505</v>
      </c>
      <c r="C123" s="29" t="s">
        <v>429</v>
      </c>
      <c r="D123" t="s">
        <v>430</v>
      </c>
      <c r="E123" t="s">
        <v>1175</v>
      </c>
      <c r="F123" t="s">
        <v>1176</v>
      </c>
      <c r="G123" t="s">
        <v>891</v>
      </c>
      <c r="H123" s="14" t="s">
        <v>245</v>
      </c>
      <c r="I123" s="23">
        <v>43404</v>
      </c>
      <c r="J123" s="27">
        <v>24</v>
      </c>
      <c r="K123" s="19">
        <f t="shared" si="1"/>
        <v>823</v>
      </c>
      <c r="L123" s="4">
        <v>42767</v>
      </c>
      <c r="M123" s="4">
        <v>43496</v>
      </c>
      <c r="N123" s="27">
        <v>24</v>
      </c>
    </row>
    <row r="124" spans="1:14">
      <c r="A124" t="s">
        <v>823</v>
      </c>
      <c r="B124" t="s">
        <v>1505</v>
      </c>
      <c r="C124" s="29" t="s">
        <v>95</v>
      </c>
      <c r="D124" t="s">
        <v>96</v>
      </c>
      <c r="E124" t="s">
        <v>1177</v>
      </c>
      <c r="F124" t="s">
        <v>1178</v>
      </c>
      <c r="G124" t="s">
        <v>891</v>
      </c>
      <c r="H124" s="14" t="s">
        <v>97</v>
      </c>
      <c r="I124" s="23">
        <v>43524</v>
      </c>
      <c r="J124" s="27">
        <v>24</v>
      </c>
      <c r="K124" s="19">
        <f t="shared" si="1"/>
        <v>-59</v>
      </c>
      <c r="L124" s="4">
        <v>42736</v>
      </c>
      <c r="M124" s="4">
        <v>43524</v>
      </c>
      <c r="N124" s="27">
        <v>36</v>
      </c>
    </row>
    <row r="125" spans="1:14">
      <c r="A125" t="s">
        <v>778</v>
      </c>
      <c r="B125" t="s">
        <v>1505</v>
      </c>
      <c r="C125" s="29" t="s">
        <v>198</v>
      </c>
      <c r="D125" t="s">
        <v>199</v>
      </c>
      <c r="E125" t="s">
        <v>1179</v>
      </c>
      <c r="F125" t="s">
        <v>1180</v>
      </c>
      <c r="G125" t="s">
        <v>846</v>
      </c>
      <c r="H125" s="14" t="s">
        <v>200</v>
      </c>
      <c r="I125" s="14">
        <v>43524</v>
      </c>
      <c r="J125" s="27">
        <v>24</v>
      </c>
      <c r="K125" s="19">
        <f t="shared" si="1"/>
        <v>730</v>
      </c>
      <c r="L125" s="4">
        <v>42794</v>
      </c>
      <c r="M125" s="22">
        <v>43524</v>
      </c>
      <c r="N125" s="27">
        <v>24</v>
      </c>
    </row>
    <row r="126" spans="1:14">
      <c r="A126" t="s">
        <v>778</v>
      </c>
      <c r="B126" t="s">
        <v>1505</v>
      </c>
      <c r="C126" s="29" t="s">
        <v>201</v>
      </c>
      <c r="D126" t="s">
        <v>202</v>
      </c>
      <c r="E126" t="s">
        <v>1181</v>
      </c>
      <c r="F126" t="s">
        <v>1182</v>
      </c>
      <c r="G126" t="s">
        <v>846</v>
      </c>
      <c r="H126" s="14" t="s">
        <v>67</v>
      </c>
      <c r="I126" s="14">
        <v>43433</v>
      </c>
      <c r="J126" s="27">
        <v>24</v>
      </c>
      <c r="K126" s="19">
        <f t="shared" si="1"/>
        <v>57</v>
      </c>
      <c r="L126" s="4">
        <v>42762</v>
      </c>
      <c r="M126" s="22">
        <v>43550</v>
      </c>
      <c r="N126" s="27">
        <v>24</v>
      </c>
    </row>
    <row r="127" spans="1:14">
      <c r="A127" t="s">
        <v>827</v>
      </c>
      <c r="B127" t="s">
        <v>1505</v>
      </c>
      <c r="C127" s="29" t="s">
        <v>455</v>
      </c>
      <c r="D127" t="s">
        <v>456</v>
      </c>
      <c r="E127" t="s">
        <v>1183</v>
      </c>
      <c r="F127" t="s">
        <v>1184</v>
      </c>
      <c r="G127" t="s">
        <v>895</v>
      </c>
      <c r="H127" s="14" t="s">
        <v>457</v>
      </c>
      <c r="I127" s="23">
        <v>43139</v>
      </c>
      <c r="J127" s="27">
        <v>24</v>
      </c>
      <c r="K127" s="19">
        <f t="shared" si="1"/>
        <v>1430</v>
      </c>
      <c r="L127" s="4">
        <v>42370</v>
      </c>
      <c r="M127" s="4">
        <v>43101</v>
      </c>
      <c r="N127" s="27">
        <v>24</v>
      </c>
    </row>
    <row r="128" spans="1:14">
      <c r="A128" t="s">
        <v>827</v>
      </c>
      <c r="B128" t="s">
        <v>1505</v>
      </c>
      <c r="C128" s="29" t="s">
        <v>453</v>
      </c>
      <c r="D128" t="s">
        <v>454</v>
      </c>
      <c r="E128" t="s">
        <v>1185</v>
      </c>
      <c r="F128" t="s">
        <v>1186</v>
      </c>
      <c r="G128" t="s">
        <v>895</v>
      </c>
      <c r="H128" s="14" t="s">
        <v>58</v>
      </c>
      <c r="I128" s="14">
        <v>43601</v>
      </c>
      <c r="J128" s="27">
        <v>24</v>
      </c>
      <c r="K128" s="19">
        <f t="shared" si="1"/>
        <v>1547</v>
      </c>
      <c r="L128" s="4">
        <v>42853</v>
      </c>
      <c r="M128" s="4">
        <v>43601</v>
      </c>
      <c r="N128" s="27">
        <v>24</v>
      </c>
    </row>
    <row r="129" spans="1:14">
      <c r="A129" t="s">
        <v>827</v>
      </c>
      <c r="B129" t="s">
        <v>1505</v>
      </c>
      <c r="C129" s="29" t="s">
        <v>458</v>
      </c>
      <c r="D129" t="s">
        <v>459</v>
      </c>
      <c r="E129" t="s">
        <v>1187</v>
      </c>
      <c r="F129" t="s">
        <v>1188</v>
      </c>
      <c r="G129" t="s">
        <v>895</v>
      </c>
      <c r="H129" s="14" t="s">
        <v>121</v>
      </c>
      <c r="I129" s="14">
        <v>43799</v>
      </c>
      <c r="J129" s="27">
        <v>24</v>
      </c>
      <c r="K129" s="19">
        <f t="shared" si="1"/>
        <v>699</v>
      </c>
      <c r="L129" s="4">
        <v>42278</v>
      </c>
      <c r="M129" s="4">
        <v>43799</v>
      </c>
      <c r="N129" s="27">
        <v>24</v>
      </c>
    </row>
    <row r="130" spans="1:14">
      <c r="A130" t="s">
        <v>827</v>
      </c>
      <c r="B130" t="s">
        <v>1505</v>
      </c>
      <c r="C130" s="29" t="s">
        <v>460</v>
      </c>
      <c r="D130" t="s">
        <v>461</v>
      </c>
      <c r="E130" t="s">
        <v>1189</v>
      </c>
      <c r="F130" t="s">
        <v>1190</v>
      </c>
      <c r="G130" t="s">
        <v>895</v>
      </c>
      <c r="H130" s="14" t="s">
        <v>462</v>
      </c>
      <c r="I130" s="23">
        <v>43100</v>
      </c>
      <c r="J130" s="27">
        <v>24</v>
      </c>
      <c r="K130" s="19">
        <f t="shared" si="1"/>
        <v>-31</v>
      </c>
      <c r="L130" s="4">
        <v>42339</v>
      </c>
      <c r="M130" s="4">
        <v>43100</v>
      </c>
      <c r="N130" s="27">
        <v>24</v>
      </c>
    </row>
    <row r="131" spans="1:14">
      <c r="A131" t="s">
        <v>791</v>
      </c>
      <c r="B131" t="s">
        <v>1505</v>
      </c>
      <c r="C131" s="29" t="s">
        <v>264</v>
      </c>
      <c r="D131" t="s">
        <v>265</v>
      </c>
      <c r="E131" t="s">
        <v>1191</v>
      </c>
      <c r="F131" t="s">
        <v>1192</v>
      </c>
      <c r="G131" t="s">
        <v>859</v>
      </c>
      <c r="H131" s="14" t="s">
        <v>266</v>
      </c>
      <c r="I131" s="23">
        <v>43251</v>
      </c>
      <c r="J131" s="27">
        <v>24</v>
      </c>
      <c r="K131" s="19">
        <f t="shared" ref="K131:K194" si="2">_xlfn.DAYS(L131,H131)</f>
        <v>-30</v>
      </c>
      <c r="L131" s="4">
        <v>42492</v>
      </c>
      <c r="M131" s="4">
        <v>43251</v>
      </c>
      <c r="N131" s="27">
        <v>24</v>
      </c>
    </row>
    <row r="132" spans="1:14">
      <c r="A132" t="s">
        <v>791</v>
      </c>
      <c r="B132" t="s">
        <v>934</v>
      </c>
      <c r="C132" s="29" t="s">
        <v>575</v>
      </c>
      <c r="D132" t="s">
        <v>576</v>
      </c>
      <c r="E132" t="s">
        <v>1193</v>
      </c>
      <c r="F132" t="s">
        <v>1194</v>
      </c>
      <c r="G132" t="s">
        <v>859</v>
      </c>
      <c r="H132" s="14" t="s">
        <v>494</v>
      </c>
      <c r="I132" s="14">
        <v>43189</v>
      </c>
      <c r="J132" s="27">
        <v>24</v>
      </c>
      <c r="K132" s="17">
        <f t="shared" si="2"/>
        <v>263</v>
      </c>
      <c r="L132" s="4">
        <v>42724</v>
      </c>
      <c r="M132" s="6">
        <v>43189</v>
      </c>
      <c r="N132" s="27">
        <v>24</v>
      </c>
    </row>
    <row r="133" spans="1:14">
      <c r="A133" t="s">
        <v>791</v>
      </c>
      <c r="B133" t="s">
        <v>934</v>
      </c>
      <c r="C133" s="29" t="s">
        <v>577</v>
      </c>
      <c r="D133" t="s">
        <v>578</v>
      </c>
      <c r="E133" t="s">
        <v>1195</v>
      </c>
      <c r="F133" t="s">
        <v>1196</v>
      </c>
      <c r="G133" t="s">
        <v>859</v>
      </c>
      <c r="H133" s="14" t="s">
        <v>133</v>
      </c>
      <c r="I133" s="23">
        <v>43496</v>
      </c>
      <c r="J133" s="27">
        <v>24</v>
      </c>
      <c r="K133" s="17">
        <f t="shared" si="2"/>
        <v>-33</v>
      </c>
      <c r="L133" s="4">
        <v>42734</v>
      </c>
      <c r="M133" s="4">
        <v>43463</v>
      </c>
      <c r="N133" s="27">
        <v>24</v>
      </c>
    </row>
    <row r="134" spans="1:14">
      <c r="A134" t="s">
        <v>791</v>
      </c>
      <c r="B134" t="s">
        <v>934</v>
      </c>
      <c r="C134" s="29" t="s">
        <v>579</v>
      </c>
      <c r="D134" t="s">
        <v>580</v>
      </c>
      <c r="E134" t="s">
        <v>1197</v>
      </c>
      <c r="F134" t="s">
        <v>1198</v>
      </c>
      <c r="G134" t="s">
        <v>859</v>
      </c>
      <c r="H134" s="14" t="s">
        <v>180</v>
      </c>
      <c r="I134" s="23">
        <v>43677</v>
      </c>
      <c r="J134" s="27">
        <v>24</v>
      </c>
      <c r="K134" s="17">
        <f t="shared" si="2"/>
        <v>-33</v>
      </c>
      <c r="L134" s="4">
        <v>42915</v>
      </c>
      <c r="M134" s="4">
        <v>43644</v>
      </c>
      <c r="N134" s="27">
        <v>24</v>
      </c>
    </row>
    <row r="135" spans="1:14">
      <c r="A135" t="s">
        <v>788</v>
      </c>
      <c r="B135" t="s">
        <v>1505</v>
      </c>
      <c r="C135" s="29" t="s">
        <v>258</v>
      </c>
      <c r="D135" t="s">
        <v>259</v>
      </c>
      <c r="E135" t="s">
        <v>1199</v>
      </c>
      <c r="F135" t="s">
        <v>1200</v>
      </c>
      <c r="G135" t="s">
        <v>856</v>
      </c>
      <c r="H135" s="14" t="s">
        <v>260</v>
      </c>
      <c r="I135" s="23">
        <v>43685</v>
      </c>
      <c r="J135" s="27">
        <v>24</v>
      </c>
      <c r="K135" s="19">
        <f t="shared" si="2"/>
        <v>345</v>
      </c>
      <c r="L135" s="4">
        <v>42746</v>
      </c>
      <c r="M135" s="4">
        <v>43685</v>
      </c>
      <c r="N135" s="27">
        <v>24</v>
      </c>
    </row>
    <row r="136" spans="1:14">
      <c r="A136" t="s">
        <v>788</v>
      </c>
      <c r="B136" t="s">
        <v>934</v>
      </c>
      <c r="C136" s="29" t="s">
        <v>568</v>
      </c>
      <c r="D136" t="s">
        <v>569</v>
      </c>
      <c r="E136" t="s">
        <v>1201</v>
      </c>
      <c r="F136" t="s">
        <v>1202</v>
      </c>
      <c r="G136" t="s">
        <v>856</v>
      </c>
      <c r="H136" s="14" t="s">
        <v>260</v>
      </c>
      <c r="I136" s="23">
        <v>43131</v>
      </c>
      <c r="J136" s="27">
        <v>24</v>
      </c>
      <c r="K136" s="17">
        <f t="shared" si="2"/>
        <v>360</v>
      </c>
      <c r="L136" s="4">
        <v>42761</v>
      </c>
      <c r="M136" s="4">
        <v>43131</v>
      </c>
      <c r="N136" s="27">
        <v>24</v>
      </c>
    </row>
    <row r="137" spans="1:14">
      <c r="A137" t="s">
        <v>789</v>
      </c>
      <c r="B137" t="s">
        <v>934</v>
      </c>
      <c r="C137" s="29" t="s">
        <v>570</v>
      </c>
      <c r="D137" t="s">
        <v>539</v>
      </c>
      <c r="E137" t="s">
        <v>1203</v>
      </c>
      <c r="F137" t="s">
        <v>1204</v>
      </c>
      <c r="G137" t="s">
        <v>857</v>
      </c>
      <c r="H137" s="14" t="s">
        <v>67</v>
      </c>
      <c r="I137" s="23">
        <v>43433</v>
      </c>
      <c r="J137" s="27">
        <v>24</v>
      </c>
      <c r="K137" s="17">
        <f t="shared" si="2"/>
        <v>370</v>
      </c>
      <c r="L137" s="4">
        <v>43075</v>
      </c>
      <c r="M137" s="4">
        <v>43805</v>
      </c>
      <c r="N137" s="27">
        <v>24</v>
      </c>
    </row>
    <row r="138" spans="1:14">
      <c r="A138" t="s">
        <v>789</v>
      </c>
      <c r="B138" t="s">
        <v>934</v>
      </c>
      <c r="C138" s="29" t="s">
        <v>571</v>
      </c>
      <c r="D138" t="s">
        <v>572</v>
      </c>
      <c r="E138" t="s">
        <v>1205</v>
      </c>
      <c r="F138" t="s">
        <v>1206</v>
      </c>
      <c r="G138" t="s">
        <v>857</v>
      </c>
      <c r="H138" s="14" t="s">
        <v>521</v>
      </c>
      <c r="I138" s="23">
        <v>43646</v>
      </c>
      <c r="J138" s="27">
        <v>24</v>
      </c>
      <c r="K138" s="17">
        <f t="shared" si="2"/>
        <v>-33</v>
      </c>
      <c r="L138" s="4">
        <v>42884</v>
      </c>
      <c r="M138" s="4">
        <v>43614</v>
      </c>
      <c r="N138" s="27">
        <v>24</v>
      </c>
    </row>
    <row r="139" spans="1:14">
      <c r="A139" t="s">
        <v>789</v>
      </c>
      <c r="B139" t="s">
        <v>934</v>
      </c>
      <c r="C139" s="29" t="s">
        <v>573</v>
      </c>
      <c r="D139" t="s">
        <v>574</v>
      </c>
      <c r="E139" t="s">
        <v>1207</v>
      </c>
      <c r="F139" t="s">
        <v>1208</v>
      </c>
      <c r="G139" t="s">
        <v>857</v>
      </c>
      <c r="H139" s="14" t="s">
        <v>521</v>
      </c>
      <c r="I139" s="23">
        <v>43646</v>
      </c>
      <c r="J139" s="27">
        <v>24</v>
      </c>
      <c r="K139" s="17">
        <f t="shared" si="2"/>
        <v>-56</v>
      </c>
      <c r="L139" s="4">
        <v>42861</v>
      </c>
      <c r="M139" s="4">
        <v>43591</v>
      </c>
      <c r="N139" s="27">
        <v>24</v>
      </c>
    </row>
    <row r="140" spans="1:14">
      <c r="A140" t="s">
        <v>824</v>
      </c>
      <c r="B140" t="s">
        <v>1505</v>
      </c>
      <c r="C140" s="29" t="s">
        <v>431</v>
      </c>
      <c r="D140" t="s">
        <v>432</v>
      </c>
      <c r="E140" t="s">
        <v>1209</v>
      </c>
      <c r="F140" t="s">
        <v>1210</v>
      </c>
      <c r="G140" t="s">
        <v>892</v>
      </c>
      <c r="H140" s="14" t="s">
        <v>46</v>
      </c>
      <c r="I140" s="14">
        <v>43263</v>
      </c>
      <c r="J140" s="27">
        <v>24</v>
      </c>
      <c r="K140" s="19">
        <f t="shared" si="2"/>
        <v>1127</v>
      </c>
      <c r="L140" s="4">
        <v>42887</v>
      </c>
      <c r="M140" s="11">
        <v>43616</v>
      </c>
      <c r="N140" s="27">
        <v>24</v>
      </c>
    </row>
    <row r="141" spans="1:14">
      <c r="A141" t="s">
        <v>824</v>
      </c>
      <c r="B141" t="s">
        <v>1505</v>
      </c>
      <c r="C141" s="29" t="s">
        <v>433</v>
      </c>
      <c r="D141" t="s">
        <v>434</v>
      </c>
      <c r="E141" t="s">
        <v>1211</v>
      </c>
      <c r="F141" t="s">
        <v>1212</v>
      </c>
      <c r="G141" t="s">
        <v>892</v>
      </c>
      <c r="H141" s="14" t="s">
        <v>435</v>
      </c>
      <c r="I141" s="14">
        <v>43506</v>
      </c>
      <c r="J141" s="27">
        <v>24</v>
      </c>
      <c r="K141" s="19">
        <f t="shared" si="2"/>
        <v>731</v>
      </c>
      <c r="L141" s="4">
        <v>42767</v>
      </c>
      <c r="M141" s="11">
        <v>43495</v>
      </c>
      <c r="N141" s="27">
        <v>24</v>
      </c>
    </row>
    <row r="142" spans="1:14">
      <c r="A142" t="s">
        <v>824</v>
      </c>
      <c r="B142" t="s">
        <v>1505</v>
      </c>
      <c r="C142" s="29" t="s">
        <v>436</v>
      </c>
      <c r="D142" t="s">
        <v>437</v>
      </c>
      <c r="E142" t="s">
        <v>1213</v>
      </c>
      <c r="F142" t="s">
        <v>1214</v>
      </c>
      <c r="G142" t="s">
        <v>892</v>
      </c>
      <c r="H142" s="14" t="s">
        <v>438</v>
      </c>
      <c r="I142" s="14">
        <v>43595</v>
      </c>
      <c r="J142" s="27">
        <v>24</v>
      </c>
      <c r="K142" s="19">
        <f t="shared" si="2"/>
        <v>720</v>
      </c>
      <c r="L142" s="4">
        <v>42856</v>
      </c>
      <c r="M142" s="4">
        <v>43595</v>
      </c>
      <c r="N142" s="27">
        <v>24</v>
      </c>
    </row>
    <row r="143" spans="1:14">
      <c r="A143" t="s">
        <v>804</v>
      </c>
      <c r="B143" t="s">
        <v>1505</v>
      </c>
      <c r="C143" s="29" t="s">
        <v>290</v>
      </c>
      <c r="D143" t="s">
        <v>291</v>
      </c>
      <c r="E143" t="s">
        <v>1215</v>
      </c>
      <c r="F143" t="s">
        <v>1216</v>
      </c>
      <c r="G143" t="s">
        <v>872</v>
      </c>
      <c r="H143" s="14" t="s">
        <v>55</v>
      </c>
      <c r="I143" s="23">
        <v>43252</v>
      </c>
      <c r="J143" s="27">
        <v>24</v>
      </c>
      <c r="K143" s="19">
        <f t="shared" si="2"/>
        <v>1376</v>
      </c>
      <c r="L143" s="4">
        <v>42529</v>
      </c>
      <c r="M143" s="4">
        <v>43252</v>
      </c>
      <c r="N143" s="27">
        <v>24</v>
      </c>
    </row>
    <row r="144" spans="1:14">
      <c r="A144" t="s">
        <v>804</v>
      </c>
      <c r="B144" t="s">
        <v>1505</v>
      </c>
      <c r="C144" s="29" t="s">
        <v>297</v>
      </c>
      <c r="D144" t="s">
        <v>298</v>
      </c>
      <c r="E144" t="s">
        <v>1217</v>
      </c>
      <c r="F144" t="s">
        <v>1218</v>
      </c>
      <c r="G144" t="s">
        <v>872</v>
      </c>
      <c r="H144" s="14" t="s">
        <v>111</v>
      </c>
      <c r="I144" s="23">
        <v>43281</v>
      </c>
      <c r="J144" s="27">
        <v>24</v>
      </c>
      <c r="K144" s="19">
        <f t="shared" si="2"/>
        <v>790</v>
      </c>
      <c r="L144" s="4">
        <v>42430</v>
      </c>
      <c r="M144" s="4">
        <v>43281</v>
      </c>
      <c r="N144" s="27">
        <v>24</v>
      </c>
    </row>
    <row r="145" spans="1:14">
      <c r="A145" t="s">
        <v>804</v>
      </c>
      <c r="B145" t="s">
        <v>1505</v>
      </c>
      <c r="C145" s="29" t="s">
        <v>299</v>
      </c>
      <c r="D145" t="s">
        <v>300</v>
      </c>
      <c r="E145" t="s">
        <v>1219</v>
      </c>
      <c r="F145" t="s">
        <v>1220</v>
      </c>
      <c r="G145" t="s">
        <v>872</v>
      </c>
      <c r="H145" s="14" t="s">
        <v>301</v>
      </c>
      <c r="I145" s="14">
        <v>43435</v>
      </c>
      <c r="J145" s="27">
        <v>24</v>
      </c>
      <c r="K145" s="19">
        <f t="shared" si="2"/>
        <v>668</v>
      </c>
      <c r="L145" s="4">
        <v>42339</v>
      </c>
      <c r="M145" s="6">
        <v>43435</v>
      </c>
      <c r="N145" s="27">
        <v>24</v>
      </c>
    </row>
    <row r="146" spans="1:14">
      <c r="A146" t="s">
        <v>804</v>
      </c>
      <c r="B146" t="s">
        <v>1505</v>
      </c>
      <c r="C146" s="29" t="s">
        <v>292</v>
      </c>
      <c r="D146" t="s">
        <v>293</v>
      </c>
      <c r="E146" t="s">
        <v>1221</v>
      </c>
      <c r="F146" t="s">
        <v>1222</v>
      </c>
      <c r="G146" t="s">
        <v>872</v>
      </c>
      <c r="H146" s="14" t="s">
        <v>257</v>
      </c>
      <c r="I146" s="23">
        <v>43131</v>
      </c>
      <c r="J146" s="27">
        <v>24</v>
      </c>
      <c r="K146" s="19">
        <f t="shared" si="2"/>
        <v>1081</v>
      </c>
      <c r="L146" s="4">
        <v>42917</v>
      </c>
      <c r="M146" s="4">
        <v>43465</v>
      </c>
      <c r="N146" s="27">
        <v>7</v>
      </c>
    </row>
    <row r="147" spans="1:14">
      <c r="A147" t="s">
        <v>804</v>
      </c>
      <c r="B147" t="s">
        <v>1505</v>
      </c>
      <c r="C147" s="29" t="s">
        <v>294</v>
      </c>
      <c r="D147" t="s">
        <v>295</v>
      </c>
      <c r="E147" t="s">
        <v>1223</v>
      </c>
      <c r="F147" t="s">
        <v>1224</v>
      </c>
      <c r="G147" t="s">
        <v>872</v>
      </c>
      <c r="H147" s="14" t="s">
        <v>296</v>
      </c>
      <c r="I147" s="23">
        <v>43268</v>
      </c>
      <c r="J147" s="27">
        <v>24</v>
      </c>
      <c r="K147" s="19">
        <f t="shared" si="2"/>
        <v>-72</v>
      </c>
      <c r="L147" s="4">
        <v>42186</v>
      </c>
      <c r="M147" s="4">
        <v>43328</v>
      </c>
      <c r="N147" s="27">
        <v>24</v>
      </c>
    </row>
    <row r="148" spans="1:14">
      <c r="A148" t="s">
        <v>804</v>
      </c>
      <c r="B148" t="s">
        <v>934</v>
      </c>
      <c r="C148" s="29" t="s">
        <v>492</v>
      </c>
      <c r="D148" t="s">
        <v>493</v>
      </c>
      <c r="E148" t="s">
        <v>1225</v>
      </c>
      <c r="F148" t="s">
        <v>1226</v>
      </c>
      <c r="G148" t="s">
        <v>872</v>
      </c>
      <c r="H148" s="14" t="s">
        <v>494</v>
      </c>
      <c r="I148" s="14">
        <v>43097</v>
      </c>
      <c r="J148" s="27">
        <v>9</v>
      </c>
      <c r="K148" s="17">
        <f t="shared" si="2"/>
        <v>-732</v>
      </c>
      <c r="L148" s="4">
        <v>41729</v>
      </c>
      <c r="M148" s="6">
        <v>43097</v>
      </c>
      <c r="N148" s="27">
        <v>24</v>
      </c>
    </row>
    <row r="149" spans="1:14">
      <c r="A149" t="s">
        <v>804</v>
      </c>
      <c r="B149" t="s">
        <v>934</v>
      </c>
      <c r="C149" s="29" t="s">
        <v>630</v>
      </c>
      <c r="D149" t="s">
        <v>631</v>
      </c>
      <c r="E149" t="s">
        <v>1227</v>
      </c>
      <c r="F149" t="s">
        <v>1228</v>
      </c>
      <c r="G149" t="s">
        <v>872</v>
      </c>
      <c r="H149" s="14" t="s">
        <v>547</v>
      </c>
      <c r="I149" s="23">
        <v>43343</v>
      </c>
      <c r="J149" s="27">
        <v>24</v>
      </c>
      <c r="K149" s="17">
        <f t="shared" si="2"/>
        <v>-31</v>
      </c>
      <c r="L149" s="4">
        <v>42583</v>
      </c>
      <c r="M149" s="4">
        <v>43312</v>
      </c>
      <c r="N149" s="27">
        <v>24</v>
      </c>
    </row>
    <row r="150" spans="1:14">
      <c r="A150" t="s">
        <v>804</v>
      </c>
      <c r="B150" t="s">
        <v>934</v>
      </c>
      <c r="C150" s="29" t="s">
        <v>632</v>
      </c>
      <c r="D150" t="s">
        <v>633</v>
      </c>
      <c r="E150" t="s">
        <v>1229</v>
      </c>
      <c r="F150" t="s">
        <v>1230</v>
      </c>
      <c r="G150" t="s">
        <v>872</v>
      </c>
      <c r="H150" s="14" t="s">
        <v>564</v>
      </c>
      <c r="I150" s="23">
        <v>43373</v>
      </c>
      <c r="J150" s="27">
        <v>24</v>
      </c>
      <c r="K150" s="17">
        <f t="shared" si="2"/>
        <v>-30</v>
      </c>
      <c r="L150" s="4">
        <v>42614</v>
      </c>
      <c r="M150" s="4">
        <v>43343</v>
      </c>
      <c r="N150" s="27">
        <v>24</v>
      </c>
    </row>
    <row r="151" spans="1:14">
      <c r="A151" t="s">
        <v>804</v>
      </c>
      <c r="B151" t="s">
        <v>934</v>
      </c>
      <c r="C151" s="29" t="s">
        <v>490</v>
      </c>
      <c r="D151" t="s">
        <v>491</v>
      </c>
      <c r="E151" t="s">
        <v>1231</v>
      </c>
      <c r="F151" t="s">
        <v>1232</v>
      </c>
      <c r="G151" t="s">
        <v>872</v>
      </c>
      <c r="H151" s="14" t="s">
        <v>133</v>
      </c>
      <c r="I151" s="14">
        <v>43738</v>
      </c>
      <c r="J151" s="27">
        <v>7</v>
      </c>
      <c r="K151" s="17">
        <f t="shared" si="2"/>
        <v>242</v>
      </c>
      <c r="L151" s="4">
        <v>43009</v>
      </c>
      <c r="M151" s="4">
        <v>43738</v>
      </c>
      <c r="N151" s="27">
        <v>24</v>
      </c>
    </row>
    <row r="152" spans="1:14">
      <c r="A152" t="s">
        <v>804</v>
      </c>
      <c r="B152" t="s">
        <v>934</v>
      </c>
      <c r="C152" s="29" t="s">
        <v>634</v>
      </c>
      <c r="D152" t="s">
        <v>635</v>
      </c>
      <c r="E152" t="s">
        <v>1233</v>
      </c>
      <c r="F152" t="s">
        <v>1234</v>
      </c>
      <c r="G152" t="s">
        <v>872</v>
      </c>
      <c r="H152" s="14" t="s">
        <v>203</v>
      </c>
      <c r="I152" s="23">
        <v>43584</v>
      </c>
      <c r="J152" s="27">
        <v>24</v>
      </c>
      <c r="K152" s="17">
        <f t="shared" si="2"/>
        <v>31</v>
      </c>
      <c r="L152" s="4">
        <v>42887</v>
      </c>
      <c r="M152" s="4">
        <v>43616</v>
      </c>
      <c r="N152" s="27">
        <v>24</v>
      </c>
    </row>
    <row r="153" spans="1:14">
      <c r="A153" t="s">
        <v>790</v>
      </c>
      <c r="B153" t="s">
        <v>1505</v>
      </c>
      <c r="C153" s="29" t="s">
        <v>261</v>
      </c>
      <c r="D153" t="s">
        <v>262</v>
      </c>
      <c r="E153" t="s">
        <v>1235</v>
      </c>
      <c r="F153" t="s">
        <v>1236</v>
      </c>
      <c r="G153" t="s">
        <v>858</v>
      </c>
      <c r="H153" s="14" t="s">
        <v>263</v>
      </c>
      <c r="I153" s="14">
        <v>43708</v>
      </c>
      <c r="J153" s="27">
        <v>24</v>
      </c>
      <c r="K153" s="19">
        <f t="shared" si="2"/>
        <v>640</v>
      </c>
      <c r="L153" s="4">
        <v>41609</v>
      </c>
      <c r="M153" s="4">
        <v>43708</v>
      </c>
      <c r="N153" s="27">
        <v>24</v>
      </c>
    </row>
    <row r="154" spans="1:14">
      <c r="A154" t="s">
        <v>790</v>
      </c>
      <c r="B154" t="s">
        <v>1505</v>
      </c>
      <c r="C154" s="29" t="s">
        <v>32</v>
      </c>
      <c r="D154" t="s">
        <v>33</v>
      </c>
      <c r="E154" t="s">
        <v>1237</v>
      </c>
      <c r="F154" t="s">
        <v>1238</v>
      </c>
      <c r="G154" t="s">
        <v>858</v>
      </c>
      <c r="H154" s="14" t="s">
        <v>34</v>
      </c>
      <c r="I154" s="14">
        <v>43738</v>
      </c>
      <c r="J154" s="27">
        <v>30</v>
      </c>
      <c r="K154" s="19">
        <f t="shared" si="2"/>
        <v>5</v>
      </c>
      <c r="L154" s="4">
        <v>41518</v>
      </c>
      <c r="M154" s="4">
        <v>43738</v>
      </c>
      <c r="N154" s="27">
        <v>24</v>
      </c>
    </row>
    <row r="155" spans="1:14">
      <c r="A155" t="s">
        <v>775</v>
      </c>
      <c r="B155" t="s">
        <v>1505</v>
      </c>
      <c r="C155" s="29" t="s">
        <v>187</v>
      </c>
      <c r="D155" t="s">
        <v>188</v>
      </c>
      <c r="E155" t="s">
        <v>1239</v>
      </c>
      <c r="F155" t="s">
        <v>1240</v>
      </c>
      <c r="G155" t="s">
        <v>843</v>
      </c>
      <c r="H155" s="14" t="s">
        <v>70</v>
      </c>
      <c r="I155" s="14">
        <v>43799</v>
      </c>
      <c r="J155" s="27">
        <v>24</v>
      </c>
      <c r="K155" s="19">
        <f t="shared" si="2"/>
        <v>760</v>
      </c>
      <c r="L155" s="4">
        <v>41974</v>
      </c>
      <c r="M155" s="22">
        <v>43799</v>
      </c>
      <c r="N155" s="27">
        <v>24</v>
      </c>
    </row>
    <row r="156" spans="1:14">
      <c r="A156" t="s">
        <v>775</v>
      </c>
      <c r="B156" t="s">
        <v>1505</v>
      </c>
      <c r="C156" s="29" t="s">
        <v>189</v>
      </c>
      <c r="D156" t="s">
        <v>190</v>
      </c>
      <c r="E156" t="s">
        <v>1241</v>
      </c>
      <c r="F156" t="s">
        <v>1242</v>
      </c>
      <c r="G156" t="s">
        <v>843</v>
      </c>
      <c r="H156" s="14" t="s">
        <v>191</v>
      </c>
      <c r="I156" s="14">
        <v>43434</v>
      </c>
      <c r="J156" s="27">
        <v>24</v>
      </c>
      <c r="K156" s="19">
        <f t="shared" si="2"/>
        <v>-1026</v>
      </c>
      <c r="L156" s="4">
        <v>40330</v>
      </c>
      <c r="M156" s="22">
        <v>43434</v>
      </c>
      <c r="N156" s="27">
        <v>24</v>
      </c>
    </row>
    <row r="157" spans="1:14">
      <c r="A157" t="s">
        <v>775</v>
      </c>
      <c r="B157" t="s">
        <v>1505</v>
      </c>
      <c r="C157" s="29" t="s">
        <v>8</v>
      </c>
      <c r="D157" t="s">
        <v>9</v>
      </c>
      <c r="E157" t="s">
        <v>1243</v>
      </c>
      <c r="F157" t="s">
        <v>1244</v>
      </c>
      <c r="G157" t="s">
        <v>843</v>
      </c>
      <c r="H157" s="14" t="s">
        <v>10</v>
      </c>
      <c r="I157" s="14">
        <v>43434</v>
      </c>
      <c r="J157" s="27">
        <v>12</v>
      </c>
      <c r="K157" s="19">
        <f t="shared" si="2"/>
        <v>-304</v>
      </c>
      <c r="L157" s="4">
        <v>42005</v>
      </c>
      <c r="M157" s="4">
        <v>43434</v>
      </c>
      <c r="N157" s="27">
        <v>24</v>
      </c>
    </row>
    <row r="158" spans="1:14">
      <c r="A158" t="s">
        <v>775</v>
      </c>
      <c r="B158" t="s">
        <v>1505</v>
      </c>
      <c r="C158" s="29" t="s">
        <v>11</v>
      </c>
      <c r="D158" t="s">
        <v>12</v>
      </c>
      <c r="E158" t="s">
        <v>1245</v>
      </c>
      <c r="F158" t="s">
        <v>1246</v>
      </c>
      <c r="G158" t="s">
        <v>843</v>
      </c>
      <c r="H158" s="14" t="s">
        <v>13</v>
      </c>
      <c r="I158" s="14">
        <v>43920</v>
      </c>
      <c r="J158" s="27">
        <v>36</v>
      </c>
      <c r="K158" s="19">
        <f t="shared" si="2"/>
        <v>-517</v>
      </c>
      <c r="L158" s="4">
        <v>42309</v>
      </c>
      <c r="M158" s="4">
        <v>43434</v>
      </c>
      <c r="N158" s="27">
        <v>24</v>
      </c>
    </row>
    <row r="159" spans="1:14">
      <c r="A159" t="s">
        <v>775</v>
      </c>
      <c r="B159" t="s">
        <v>934</v>
      </c>
      <c r="C159" s="29" t="s">
        <v>534</v>
      </c>
      <c r="D159" t="s">
        <v>535</v>
      </c>
      <c r="E159" t="s">
        <v>1247</v>
      </c>
      <c r="F159" t="s">
        <v>1248</v>
      </c>
      <c r="G159" t="s">
        <v>843</v>
      </c>
      <c r="H159" s="14" t="s">
        <v>536</v>
      </c>
      <c r="I159" s="14">
        <v>43098</v>
      </c>
      <c r="J159" s="27">
        <v>24</v>
      </c>
      <c r="K159" s="17">
        <f t="shared" si="2"/>
        <v>18</v>
      </c>
      <c r="L159" s="4">
        <v>42339</v>
      </c>
      <c r="M159" s="4">
        <v>43098</v>
      </c>
      <c r="N159" s="27">
        <v>24</v>
      </c>
    </row>
    <row r="160" spans="1:14">
      <c r="A160" t="s">
        <v>812</v>
      </c>
      <c r="B160" t="s">
        <v>1505</v>
      </c>
      <c r="C160" s="29" t="s">
        <v>71</v>
      </c>
      <c r="D160" t="s">
        <v>72</v>
      </c>
      <c r="E160" t="s">
        <v>1249</v>
      </c>
      <c r="F160" t="s">
        <v>1250</v>
      </c>
      <c r="G160" t="s">
        <v>880</v>
      </c>
      <c r="H160" s="14" t="s">
        <v>73</v>
      </c>
      <c r="I160" s="23">
        <v>43677</v>
      </c>
      <c r="J160" s="27">
        <v>30</v>
      </c>
      <c r="K160" s="19">
        <f t="shared" si="2"/>
        <v>51</v>
      </c>
      <c r="L160" s="4">
        <v>41670</v>
      </c>
      <c r="M160" s="4">
        <v>43677</v>
      </c>
      <c r="N160" s="27">
        <v>36</v>
      </c>
    </row>
    <row r="161" spans="1:14">
      <c r="A161" t="s">
        <v>812</v>
      </c>
      <c r="B161" t="s">
        <v>934</v>
      </c>
      <c r="C161" s="29" t="s">
        <v>666</v>
      </c>
      <c r="D161" t="s">
        <v>667</v>
      </c>
      <c r="E161" t="s">
        <v>1251</v>
      </c>
      <c r="F161" t="s">
        <v>1252</v>
      </c>
      <c r="G161" t="s">
        <v>880</v>
      </c>
      <c r="H161" s="14" t="s">
        <v>13</v>
      </c>
      <c r="I161" s="23">
        <v>43553</v>
      </c>
      <c r="J161" s="27">
        <v>24</v>
      </c>
      <c r="K161" s="17">
        <f t="shared" si="2"/>
        <v>-60</v>
      </c>
      <c r="L161" s="4">
        <v>42766</v>
      </c>
      <c r="M161" s="4">
        <v>43496</v>
      </c>
      <c r="N161" s="27">
        <v>24</v>
      </c>
    </row>
    <row r="162" spans="1:14">
      <c r="A162" t="s">
        <v>812</v>
      </c>
      <c r="B162" t="s">
        <v>934</v>
      </c>
      <c r="C162" s="29" t="s">
        <v>668</v>
      </c>
      <c r="D162" t="s">
        <v>669</v>
      </c>
      <c r="E162" t="s">
        <v>1253</v>
      </c>
      <c r="F162" t="s">
        <v>1254</v>
      </c>
      <c r="G162" t="s">
        <v>880</v>
      </c>
      <c r="H162" s="14" t="s">
        <v>670</v>
      </c>
      <c r="I162" s="14">
        <v>44357</v>
      </c>
      <c r="J162" s="27">
        <v>48</v>
      </c>
      <c r="K162" s="17">
        <f t="shared" si="2"/>
        <v>-39</v>
      </c>
      <c r="L162" s="4">
        <v>42859</v>
      </c>
      <c r="M162" s="6">
        <v>44357</v>
      </c>
      <c r="N162" s="27">
        <v>48</v>
      </c>
    </row>
    <row r="163" spans="1:14">
      <c r="A163" t="s">
        <v>911</v>
      </c>
      <c r="B163" t="s">
        <v>934</v>
      </c>
      <c r="C163" s="29" t="s">
        <v>727</v>
      </c>
      <c r="D163" t="s">
        <v>728</v>
      </c>
      <c r="E163" t="s">
        <v>1255</v>
      </c>
      <c r="F163" t="s">
        <v>1256</v>
      </c>
      <c r="G163" t="s">
        <v>920</v>
      </c>
      <c r="H163" s="14" t="s">
        <v>729</v>
      </c>
      <c r="I163" s="23">
        <v>43321</v>
      </c>
      <c r="J163" s="27">
        <v>24</v>
      </c>
      <c r="K163" s="17">
        <f t="shared" si="2"/>
        <v>365</v>
      </c>
      <c r="L163" s="4">
        <v>42957</v>
      </c>
      <c r="M163" s="4">
        <v>43686</v>
      </c>
      <c r="N163" s="27">
        <v>24</v>
      </c>
    </row>
    <row r="164" spans="1:14">
      <c r="A164" t="s">
        <v>831</v>
      </c>
      <c r="B164" t="s">
        <v>1505</v>
      </c>
      <c r="C164" s="29" t="s">
        <v>112</v>
      </c>
      <c r="D164" t="s">
        <v>113</v>
      </c>
      <c r="E164" t="s">
        <v>1257</v>
      </c>
      <c r="F164" t="s">
        <v>1258</v>
      </c>
      <c r="G164" t="s">
        <v>899</v>
      </c>
      <c r="H164" s="14" t="s">
        <v>114</v>
      </c>
      <c r="I164" s="23">
        <v>43118</v>
      </c>
      <c r="J164" s="27">
        <v>36</v>
      </c>
      <c r="K164" s="19">
        <f t="shared" si="2"/>
        <v>931</v>
      </c>
      <c r="L164" s="4">
        <v>41444</v>
      </c>
      <c r="M164" s="4">
        <v>43118</v>
      </c>
      <c r="N164" s="27">
        <v>24</v>
      </c>
    </row>
    <row r="165" spans="1:14">
      <c r="A165" t="s">
        <v>831</v>
      </c>
      <c r="B165" t="s">
        <v>1505</v>
      </c>
      <c r="C165" s="29" t="s">
        <v>468</v>
      </c>
      <c r="D165" t="s">
        <v>469</v>
      </c>
      <c r="E165" t="s">
        <v>1259</v>
      </c>
      <c r="F165" t="s">
        <v>1260</v>
      </c>
      <c r="G165" t="s">
        <v>899</v>
      </c>
      <c r="H165" s="14" t="s">
        <v>470</v>
      </c>
      <c r="I165" s="23">
        <v>43514</v>
      </c>
      <c r="J165" s="27">
        <v>26</v>
      </c>
      <c r="K165" s="19">
        <f t="shared" si="2"/>
        <v>1171</v>
      </c>
      <c r="L165" s="4">
        <v>42780</v>
      </c>
      <c r="M165" s="4">
        <v>43514</v>
      </c>
      <c r="N165" s="27">
        <v>12</v>
      </c>
    </row>
    <row r="166" spans="1:14">
      <c r="A166" t="s">
        <v>831</v>
      </c>
      <c r="B166" t="s">
        <v>1505</v>
      </c>
      <c r="C166" s="29" t="s">
        <v>471</v>
      </c>
      <c r="D166" t="s">
        <v>472</v>
      </c>
      <c r="E166" t="s">
        <v>1261</v>
      </c>
      <c r="F166" t="s">
        <v>1262</v>
      </c>
      <c r="G166" t="s">
        <v>899</v>
      </c>
      <c r="H166" s="14" t="s">
        <v>462</v>
      </c>
      <c r="I166" s="23">
        <v>43159</v>
      </c>
      <c r="J166" s="27">
        <v>24</v>
      </c>
      <c r="K166" s="19">
        <f t="shared" si="2"/>
        <v>-716</v>
      </c>
      <c r="L166" s="4">
        <v>41654</v>
      </c>
      <c r="M166" s="4">
        <v>43182</v>
      </c>
      <c r="N166" s="27">
        <v>24</v>
      </c>
    </row>
    <row r="167" spans="1:14">
      <c r="A167" t="s">
        <v>831</v>
      </c>
      <c r="B167" t="s">
        <v>1505</v>
      </c>
      <c r="C167" s="29" t="s">
        <v>473</v>
      </c>
      <c r="D167" t="s">
        <v>474</v>
      </c>
      <c r="E167" t="s">
        <v>1263</v>
      </c>
      <c r="F167" t="s">
        <v>1264</v>
      </c>
      <c r="G167" t="s">
        <v>899</v>
      </c>
      <c r="H167" s="14" t="s">
        <v>91</v>
      </c>
      <c r="I167" s="23">
        <v>43272</v>
      </c>
      <c r="J167" s="27">
        <v>12</v>
      </c>
      <c r="K167" s="19">
        <f t="shared" si="2"/>
        <v>324</v>
      </c>
      <c r="L167" s="4">
        <v>42907</v>
      </c>
      <c r="M167" s="4">
        <v>43272</v>
      </c>
      <c r="N167" s="27">
        <v>12</v>
      </c>
    </row>
    <row r="168" spans="1:14">
      <c r="A168" t="s">
        <v>831</v>
      </c>
      <c r="B168" t="s">
        <v>1505</v>
      </c>
      <c r="C168" s="29" t="s">
        <v>475</v>
      </c>
      <c r="D168" t="s">
        <v>476</v>
      </c>
      <c r="E168" t="s">
        <v>1265</v>
      </c>
      <c r="F168" t="s">
        <v>1266</v>
      </c>
      <c r="G168" t="s">
        <v>899</v>
      </c>
      <c r="H168" s="14" t="s">
        <v>180</v>
      </c>
      <c r="I168" s="23">
        <v>43677</v>
      </c>
      <c r="J168" s="27">
        <v>24</v>
      </c>
      <c r="K168" s="19">
        <f t="shared" si="2"/>
        <v>-40</v>
      </c>
      <c r="L168" s="4">
        <v>42908</v>
      </c>
      <c r="M168" s="4">
        <v>43638</v>
      </c>
      <c r="N168" s="27">
        <v>24</v>
      </c>
    </row>
    <row r="169" spans="1:14">
      <c r="A169" t="s">
        <v>831</v>
      </c>
      <c r="B169" t="s">
        <v>934</v>
      </c>
      <c r="C169" s="29" t="s">
        <v>750</v>
      </c>
      <c r="D169" t="s">
        <v>751</v>
      </c>
      <c r="E169" t="s">
        <v>1267</v>
      </c>
      <c r="F169" t="s">
        <v>1268</v>
      </c>
      <c r="G169" t="s">
        <v>899</v>
      </c>
      <c r="H169" s="14" t="s">
        <v>118</v>
      </c>
      <c r="I169" s="23">
        <v>43434</v>
      </c>
      <c r="J169" s="27">
        <v>24</v>
      </c>
      <c r="K169" s="17">
        <f t="shared" si="2"/>
        <v>150</v>
      </c>
      <c r="L169" s="4">
        <v>42489</v>
      </c>
      <c r="M169" s="4">
        <v>43219</v>
      </c>
      <c r="N169" s="27">
        <v>24</v>
      </c>
    </row>
    <row r="170" spans="1:14">
      <c r="A170" t="s">
        <v>831</v>
      </c>
      <c r="B170" t="s">
        <v>934</v>
      </c>
      <c r="C170" s="29" t="s">
        <v>752</v>
      </c>
      <c r="D170" t="s">
        <v>753</v>
      </c>
      <c r="E170" t="s">
        <v>1269</v>
      </c>
      <c r="F170" t="s">
        <v>1270</v>
      </c>
      <c r="G170" t="s">
        <v>899</v>
      </c>
      <c r="H170" s="14" t="s">
        <v>754</v>
      </c>
      <c r="I170" s="23">
        <v>43426</v>
      </c>
      <c r="J170" s="27">
        <v>24</v>
      </c>
      <c r="K170" s="17">
        <f t="shared" si="2"/>
        <v>382</v>
      </c>
      <c r="L170" s="4">
        <v>42713</v>
      </c>
      <c r="M170" s="4">
        <v>43443</v>
      </c>
      <c r="N170" s="27">
        <v>24</v>
      </c>
    </row>
    <row r="171" spans="1:14">
      <c r="A171" t="s">
        <v>831</v>
      </c>
      <c r="B171" t="s">
        <v>934</v>
      </c>
      <c r="C171" s="29" t="s">
        <v>755</v>
      </c>
      <c r="D171" t="s">
        <v>756</v>
      </c>
      <c r="E171" t="s">
        <v>1271</v>
      </c>
      <c r="F171" t="s">
        <v>1272</v>
      </c>
      <c r="G171" t="s">
        <v>899</v>
      </c>
      <c r="H171" s="14" t="s">
        <v>271</v>
      </c>
      <c r="I171" s="23">
        <v>43159</v>
      </c>
      <c r="J171" s="27">
        <v>24</v>
      </c>
      <c r="K171" s="17">
        <f t="shared" si="2"/>
        <v>-32</v>
      </c>
      <c r="L171" s="4">
        <v>42398</v>
      </c>
      <c r="M171" s="4">
        <v>43129</v>
      </c>
      <c r="N171" s="27">
        <v>24</v>
      </c>
    </row>
    <row r="172" spans="1:14">
      <c r="A172" t="s">
        <v>792</v>
      </c>
      <c r="B172" t="s">
        <v>1505</v>
      </c>
      <c r="C172" s="29" t="s">
        <v>35</v>
      </c>
      <c r="D172" t="s">
        <v>36</v>
      </c>
      <c r="E172" t="s">
        <v>1273</v>
      </c>
      <c r="F172" t="s">
        <v>1274</v>
      </c>
      <c r="G172" t="s">
        <v>860</v>
      </c>
      <c r="H172" s="14" t="s">
        <v>37</v>
      </c>
      <c r="I172" s="23">
        <v>43144</v>
      </c>
      <c r="J172" s="27">
        <v>24</v>
      </c>
      <c r="K172" s="19">
        <f t="shared" si="2"/>
        <v>-447</v>
      </c>
      <c r="L172" s="4">
        <v>40814</v>
      </c>
      <c r="M172" s="4">
        <v>43144</v>
      </c>
      <c r="N172" s="27">
        <v>12</v>
      </c>
    </row>
    <row r="173" spans="1:14">
      <c r="A173" t="s">
        <v>792</v>
      </c>
      <c r="B173" t="s">
        <v>1505</v>
      </c>
      <c r="C173" s="29" t="s">
        <v>268</v>
      </c>
      <c r="D173" t="s">
        <v>269</v>
      </c>
      <c r="E173" t="s">
        <v>1275</v>
      </c>
      <c r="F173" t="s">
        <v>1276</v>
      </c>
      <c r="G173" t="s">
        <v>860</v>
      </c>
      <c r="H173" s="14" t="s">
        <v>270</v>
      </c>
      <c r="I173" s="23">
        <v>43601</v>
      </c>
      <c r="J173" s="27">
        <v>24</v>
      </c>
      <c r="K173" s="19">
        <f t="shared" si="2"/>
        <v>-1655</v>
      </c>
      <c r="L173" s="4">
        <v>39657</v>
      </c>
      <c r="M173" s="4">
        <v>43601</v>
      </c>
      <c r="N173" s="27">
        <v>24</v>
      </c>
    </row>
    <row r="174" spans="1:14">
      <c r="A174" t="s">
        <v>792</v>
      </c>
      <c r="B174" t="s">
        <v>1505</v>
      </c>
      <c r="C174" s="29" t="s">
        <v>38</v>
      </c>
      <c r="D174" t="s">
        <v>39</v>
      </c>
      <c r="E174" t="s">
        <v>1277</v>
      </c>
      <c r="F174" t="s">
        <v>1278</v>
      </c>
      <c r="G174" t="s">
        <v>860</v>
      </c>
      <c r="H174" s="14" t="s">
        <v>40</v>
      </c>
      <c r="I174" s="23">
        <v>43379</v>
      </c>
      <c r="J174" s="27">
        <v>24</v>
      </c>
      <c r="K174" s="19">
        <f t="shared" si="2"/>
        <v>-1929</v>
      </c>
      <c r="L174" s="4">
        <v>39990</v>
      </c>
      <c r="M174" s="4">
        <v>43379</v>
      </c>
      <c r="N174" s="27">
        <v>12</v>
      </c>
    </row>
    <row r="175" spans="1:14">
      <c r="A175" t="s">
        <v>828</v>
      </c>
      <c r="B175" t="s">
        <v>1505</v>
      </c>
      <c r="C175" s="29" t="s">
        <v>109</v>
      </c>
      <c r="D175" t="s">
        <v>110</v>
      </c>
      <c r="E175" t="s">
        <v>1279</v>
      </c>
      <c r="F175" t="s">
        <v>1280</v>
      </c>
      <c r="G175" t="s">
        <v>896</v>
      </c>
      <c r="H175" s="14" t="s">
        <v>111</v>
      </c>
      <c r="I175" s="14">
        <v>43738</v>
      </c>
      <c r="J175" s="27">
        <v>24</v>
      </c>
      <c r="K175" s="19">
        <f t="shared" si="2"/>
        <v>-3439</v>
      </c>
      <c r="L175" s="4">
        <v>38201</v>
      </c>
      <c r="M175" s="4">
        <v>43738</v>
      </c>
      <c r="N175" s="27">
        <v>28</v>
      </c>
    </row>
    <row r="176" spans="1:14">
      <c r="A176" t="s">
        <v>828</v>
      </c>
      <c r="B176" t="s">
        <v>1505</v>
      </c>
      <c r="C176" s="29" t="s">
        <v>463</v>
      </c>
      <c r="D176" t="s">
        <v>464</v>
      </c>
      <c r="E176" t="s">
        <v>1281</v>
      </c>
      <c r="F176" t="s">
        <v>1282</v>
      </c>
      <c r="G176" t="s">
        <v>896</v>
      </c>
      <c r="H176" s="14" t="s">
        <v>465</v>
      </c>
      <c r="I176" s="14">
        <v>43190</v>
      </c>
      <c r="J176" s="27">
        <v>24</v>
      </c>
      <c r="K176" s="19">
        <f t="shared" si="2"/>
        <v>786</v>
      </c>
      <c r="L176" s="4">
        <v>42461</v>
      </c>
      <c r="M176" s="4">
        <v>43190</v>
      </c>
      <c r="N176" s="27">
        <v>24</v>
      </c>
    </row>
    <row r="177" spans="1:14">
      <c r="A177" t="s">
        <v>794</v>
      </c>
      <c r="B177" t="s">
        <v>934</v>
      </c>
      <c r="C177" s="29" t="s">
        <v>585</v>
      </c>
      <c r="D177" t="s">
        <v>586</v>
      </c>
      <c r="E177" t="s">
        <v>1283</v>
      </c>
      <c r="F177" t="s">
        <v>1284</v>
      </c>
      <c r="G177" t="s">
        <v>862</v>
      </c>
      <c r="H177" s="14" t="s">
        <v>507</v>
      </c>
      <c r="I177" s="14">
        <v>43413</v>
      </c>
      <c r="J177" s="27">
        <v>24</v>
      </c>
      <c r="K177" s="17">
        <f t="shared" si="2"/>
        <v>-40</v>
      </c>
      <c r="L177" s="4">
        <v>42278</v>
      </c>
      <c r="M177" s="6">
        <v>43413</v>
      </c>
      <c r="N177" s="27">
        <v>24</v>
      </c>
    </row>
    <row r="178" spans="1:14">
      <c r="A178" t="s">
        <v>794</v>
      </c>
      <c r="B178" t="s">
        <v>934</v>
      </c>
      <c r="C178" s="29" t="s">
        <v>587</v>
      </c>
      <c r="D178" t="s">
        <v>588</v>
      </c>
      <c r="E178" t="s">
        <v>1285</v>
      </c>
      <c r="F178" t="s">
        <v>1286</v>
      </c>
      <c r="G178" t="s">
        <v>862</v>
      </c>
      <c r="H178" s="14" t="s">
        <v>589</v>
      </c>
      <c r="I178" s="14">
        <v>43417</v>
      </c>
      <c r="J178" s="27">
        <v>24</v>
      </c>
      <c r="K178" s="17">
        <f t="shared" si="2"/>
        <v>-44</v>
      </c>
      <c r="L178" s="4">
        <v>42278</v>
      </c>
      <c r="M178" s="6">
        <v>43417</v>
      </c>
      <c r="N178" s="27">
        <v>24</v>
      </c>
    </row>
    <row r="179" spans="1:14">
      <c r="A179" t="s">
        <v>794</v>
      </c>
      <c r="B179" t="s">
        <v>934</v>
      </c>
      <c r="C179" s="29" t="s">
        <v>595</v>
      </c>
      <c r="D179" t="s">
        <v>596</v>
      </c>
      <c r="E179" t="s">
        <v>1287</v>
      </c>
      <c r="F179" t="s">
        <v>1288</v>
      </c>
      <c r="G179" t="s">
        <v>862</v>
      </c>
      <c r="H179" s="14" t="s">
        <v>272</v>
      </c>
      <c r="I179" s="14">
        <v>43107</v>
      </c>
      <c r="J179" s="27">
        <v>24</v>
      </c>
      <c r="K179" s="17">
        <f t="shared" si="2"/>
        <v>-38</v>
      </c>
      <c r="L179" s="4">
        <v>42339</v>
      </c>
      <c r="M179" s="6">
        <v>43107</v>
      </c>
      <c r="N179" s="27">
        <v>24</v>
      </c>
    </row>
    <row r="180" spans="1:14">
      <c r="A180" t="s">
        <v>794</v>
      </c>
      <c r="B180" t="s">
        <v>934</v>
      </c>
      <c r="C180" s="29" t="s">
        <v>590</v>
      </c>
      <c r="D180" t="s">
        <v>591</v>
      </c>
      <c r="E180" t="s">
        <v>1289</v>
      </c>
      <c r="F180" t="s">
        <v>1290</v>
      </c>
      <c r="G180" t="s">
        <v>862</v>
      </c>
      <c r="H180" s="14" t="s">
        <v>581</v>
      </c>
      <c r="I180" s="23">
        <v>43229</v>
      </c>
      <c r="J180" s="27">
        <v>24</v>
      </c>
      <c r="K180" s="17">
        <f t="shared" si="2"/>
        <v>-40</v>
      </c>
      <c r="L180" s="4">
        <v>42461</v>
      </c>
      <c r="M180" s="4">
        <v>43191</v>
      </c>
      <c r="N180" s="27">
        <v>24</v>
      </c>
    </row>
    <row r="181" spans="1:14">
      <c r="A181" t="s">
        <v>794</v>
      </c>
      <c r="B181" t="s">
        <v>934</v>
      </c>
      <c r="C181" s="29" t="s">
        <v>582</v>
      </c>
      <c r="D181" t="s">
        <v>583</v>
      </c>
      <c r="E181" t="s">
        <v>1291</v>
      </c>
      <c r="F181" t="s">
        <v>1292</v>
      </c>
      <c r="G181" t="s">
        <v>862</v>
      </c>
      <c r="H181" s="14" t="s">
        <v>584</v>
      </c>
      <c r="I181" s="14">
        <v>43289</v>
      </c>
      <c r="J181" s="27">
        <v>24</v>
      </c>
      <c r="K181" s="17">
        <f t="shared" si="2"/>
        <v>-38</v>
      </c>
      <c r="L181" s="4">
        <v>42522</v>
      </c>
      <c r="M181" s="4">
        <v>43252</v>
      </c>
      <c r="N181" s="27">
        <v>24</v>
      </c>
    </row>
    <row r="182" spans="1:14">
      <c r="A182" t="s">
        <v>794</v>
      </c>
      <c r="B182" t="s">
        <v>934</v>
      </c>
      <c r="C182" s="29" t="s">
        <v>597</v>
      </c>
      <c r="D182" t="s">
        <v>598</v>
      </c>
      <c r="E182" t="s">
        <v>1293</v>
      </c>
      <c r="F182" t="s">
        <v>1294</v>
      </c>
      <c r="G182" t="s">
        <v>862</v>
      </c>
      <c r="H182" s="14" t="s">
        <v>584</v>
      </c>
      <c r="I182" s="23">
        <v>43289</v>
      </c>
      <c r="J182" s="27">
        <v>24</v>
      </c>
      <c r="K182" s="17">
        <f t="shared" si="2"/>
        <v>-38</v>
      </c>
      <c r="L182" s="4">
        <v>42522</v>
      </c>
      <c r="M182" s="4">
        <v>43252</v>
      </c>
      <c r="N182" s="27">
        <v>24</v>
      </c>
    </row>
    <row r="183" spans="1:14">
      <c r="A183" t="s">
        <v>794</v>
      </c>
      <c r="B183" t="s">
        <v>934</v>
      </c>
      <c r="C183" s="29" t="s">
        <v>592</v>
      </c>
      <c r="D183" t="s">
        <v>593</v>
      </c>
      <c r="E183" t="s">
        <v>1295</v>
      </c>
      <c r="F183" t="s">
        <v>1296</v>
      </c>
      <c r="G183" t="s">
        <v>862</v>
      </c>
      <c r="H183" s="14" t="s">
        <v>594</v>
      </c>
      <c r="I183" s="23">
        <v>43481</v>
      </c>
      <c r="J183" s="27">
        <v>24</v>
      </c>
      <c r="K183" s="17">
        <f t="shared" si="2"/>
        <v>-33</v>
      </c>
      <c r="L183" s="4">
        <v>42720</v>
      </c>
      <c r="M183" s="4">
        <v>43450</v>
      </c>
      <c r="N183" s="27">
        <v>24</v>
      </c>
    </row>
    <row r="184" spans="1:14">
      <c r="A184" t="s">
        <v>794</v>
      </c>
      <c r="B184" t="s">
        <v>934</v>
      </c>
      <c r="C184" s="29" t="s">
        <v>599</v>
      </c>
      <c r="D184" t="s">
        <v>600</v>
      </c>
      <c r="E184" t="s">
        <v>1297</v>
      </c>
      <c r="F184" t="s">
        <v>1298</v>
      </c>
      <c r="G184" t="s">
        <v>862</v>
      </c>
      <c r="H184" s="14" t="s">
        <v>601</v>
      </c>
      <c r="I184" s="23">
        <v>43599</v>
      </c>
      <c r="J184" s="27">
        <v>24</v>
      </c>
      <c r="K184" s="17">
        <f t="shared" si="2"/>
        <v>-31</v>
      </c>
      <c r="L184" s="4">
        <v>42840</v>
      </c>
      <c r="M184" s="4">
        <v>43570</v>
      </c>
      <c r="N184" s="27">
        <v>24</v>
      </c>
    </row>
    <row r="185" spans="1:14">
      <c r="A185" t="s">
        <v>794</v>
      </c>
      <c r="B185" t="s">
        <v>934</v>
      </c>
      <c r="C185" s="29" t="s">
        <v>603</v>
      </c>
      <c r="D185" t="s">
        <v>604</v>
      </c>
      <c r="E185" t="s">
        <v>1299</v>
      </c>
      <c r="F185" t="s">
        <v>1300</v>
      </c>
      <c r="G185" t="s">
        <v>862</v>
      </c>
      <c r="H185" s="14" t="s">
        <v>602</v>
      </c>
      <c r="I185" s="23">
        <v>43637</v>
      </c>
      <c r="J185" s="27">
        <v>24</v>
      </c>
      <c r="K185" s="17">
        <f t="shared" si="2"/>
        <v>-33</v>
      </c>
      <c r="L185" s="4">
        <v>42875</v>
      </c>
      <c r="M185" s="4">
        <v>43605</v>
      </c>
      <c r="N185" s="27">
        <v>24</v>
      </c>
    </row>
    <row r="186" spans="1:14">
      <c r="A186" t="s">
        <v>819</v>
      </c>
      <c r="B186" t="s">
        <v>1505</v>
      </c>
      <c r="C186" s="29" t="s">
        <v>407</v>
      </c>
      <c r="D186" t="s">
        <v>408</v>
      </c>
      <c r="E186" t="s">
        <v>1301</v>
      </c>
      <c r="F186" t="s">
        <v>1302</v>
      </c>
      <c r="G186" t="s">
        <v>887</v>
      </c>
      <c r="H186" s="14" t="s">
        <v>409</v>
      </c>
      <c r="I186" s="14">
        <v>44071</v>
      </c>
      <c r="J186" s="27">
        <v>36</v>
      </c>
      <c r="K186" s="19">
        <f t="shared" si="2"/>
        <v>1962</v>
      </c>
      <c r="L186" s="4">
        <v>42005</v>
      </c>
      <c r="M186" s="4">
        <v>44071</v>
      </c>
      <c r="N186" s="27">
        <v>36</v>
      </c>
    </row>
    <row r="187" spans="1:14">
      <c r="A187" t="s">
        <v>807</v>
      </c>
      <c r="B187" t="s">
        <v>1505</v>
      </c>
      <c r="C187" s="29" t="s">
        <v>321</v>
      </c>
      <c r="D187" t="s">
        <v>322</v>
      </c>
      <c r="E187" t="s">
        <v>1303</v>
      </c>
      <c r="F187" t="s">
        <v>1304</v>
      </c>
      <c r="G187" t="s">
        <v>875</v>
      </c>
      <c r="H187" s="14" t="s">
        <v>323</v>
      </c>
      <c r="I187" s="23">
        <v>43616</v>
      </c>
      <c r="J187" s="27">
        <v>36</v>
      </c>
      <c r="K187" s="19">
        <f t="shared" si="2"/>
        <v>2223</v>
      </c>
      <c r="L187" s="4">
        <v>42522</v>
      </c>
      <c r="M187" s="4">
        <v>43616</v>
      </c>
      <c r="N187" s="27">
        <v>36</v>
      </c>
    </row>
    <row r="188" spans="1:14">
      <c r="A188" t="s">
        <v>807</v>
      </c>
      <c r="B188" t="s">
        <v>1505</v>
      </c>
      <c r="C188" s="29" t="s">
        <v>68</v>
      </c>
      <c r="D188" t="s">
        <v>69</v>
      </c>
      <c r="E188" t="s">
        <v>1305</v>
      </c>
      <c r="F188" t="s">
        <v>1306</v>
      </c>
      <c r="G188" t="s">
        <v>875</v>
      </c>
      <c r="H188" s="14" t="s">
        <v>70</v>
      </c>
      <c r="I188" s="14">
        <v>43131</v>
      </c>
      <c r="J188" s="27">
        <v>24</v>
      </c>
      <c r="K188" s="19">
        <f t="shared" si="2"/>
        <v>1216</v>
      </c>
      <c r="L188" s="4">
        <v>42430</v>
      </c>
      <c r="M188" s="4">
        <v>43039</v>
      </c>
      <c r="N188" s="27">
        <v>20</v>
      </c>
    </row>
    <row r="189" spans="1:14">
      <c r="A189" t="s">
        <v>807</v>
      </c>
      <c r="B189" t="s">
        <v>1505</v>
      </c>
      <c r="C189" s="29" t="s">
        <v>324</v>
      </c>
      <c r="D189" t="s">
        <v>325</v>
      </c>
      <c r="E189" t="s">
        <v>1307</v>
      </c>
      <c r="F189" t="s">
        <v>1308</v>
      </c>
      <c r="G189" t="s">
        <v>875</v>
      </c>
      <c r="H189" s="14" t="s">
        <v>326</v>
      </c>
      <c r="I189" s="14">
        <v>43100</v>
      </c>
      <c r="J189" s="27">
        <v>27</v>
      </c>
      <c r="K189" s="19">
        <f t="shared" si="2"/>
        <v>822</v>
      </c>
      <c r="L189" s="4">
        <v>42309</v>
      </c>
      <c r="M189" s="4">
        <v>43039</v>
      </c>
      <c r="N189" s="27">
        <v>24</v>
      </c>
    </row>
    <row r="190" spans="1:14">
      <c r="A190" t="s">
        <v>807</v>
      </c>
      <c r="B190" t="s">
        <v>1505</v>
      </c>
      <c r="C190" s="29" t="s">
        <v>327</v>
      </c>
      <c r="D190" t="s">
        <v>328</v>
      </c>
      <c r="E190" t="s">
        <v>1309</v>
      </c>
      <c r="F190" t="s">
        <v>1310</v>
      </c>
      <c r="G190" t="s">
        <v>875</v>
      </c>
      <c r="H190" s="14" t="s">
        <v>329</v>
      </c>
      <c r="I190" s="23">
        <v>43158</v>
      </c>
      <c r="J190" s="27">
        <v>24</v>
      </c>
      <c r="K190" s="19">
        <f t="shared" si="2"/>
        <v>816</v>
      </c>
      <c r="L190" s="4">
        <v>42430</v>
      </c>
      <c r="M190" s="4">
        <v>43158</v>
      </c>
      <c r="N190" s="27">
        <v>24</v>
      </c>
    </row>
    <row r="191" spans="1:14">
      <c r="A191" t="s">
        <v>908</v>
      </c>
      <c r="B191" t="s">
        <v>934</v>
      </c>
      <c r="C191" s="29" t="s">
        <v>683</v>
      </c>
      <c r="D191" t="s">
        <v>684</v>
      </c>
      <c r="E191" t="s">
        <v>1311</v>
      </c>
      <c r="F191" t="s">
        <v>1312</v>
      </c>
      <c r="G191" t="s">
        <v>917</v>
      </c>
      <c r="H191" s="14" t="s">
        <v>685</v>
      </c>
      <c r="I191" s="23">
        <v>43397</v>
      </c>
      <c r="J191" s="27">
        <v>24</v>
      </c>
      <c r="K191" s="17">
        <f t="shared" si="2"/>
        <v>6</v>
      </c>
      <c r="L191" s="4">
        <v>42675</v>
      </c>
      <c r="M191" s="4">
        <v>43397</v>
      </c>
      <c r="N191" s="27">
        <v>24</v>
      </c>
    </row>
    <row r="192" spans="1:14">
      <c r="A192" t="s">
        <v>908</v>
      </c>
      <c r="B192" t="s">
        <v>934</v>
      </c>
      <c r="C192" s="29" t="s">
        <v>686</v>
      </c>
      <c r="D192" t="s">
        <v>687</v>
      </c>
      <c r="E192" t="s">
        <v>1313</v>
      </c>
      <c r="F192" t="s">
        <v>1314</v>
      </c>
      <c r="G192" t="s">
        <v>917</v>
      </c>
      <c r="H192" s="14" t="s">
        <v>688</v>
      </c>
      <c r="I192" s="23">
        <v>43396</v>
      </c>
      <c r="J192" s="27">
        <v>24</v>
      </c>
      <c r="K192" s="17">
        <f t="shared" si="2"/>
        <v>7</v>
      </c>
      <c r="L192" s="4">
        <v>42675</v>
      </c>
      <c r="M192" s="4">
        <v>43396</v>
      </c>
      <c r="N192" s="27">
        <v>24</v>
      </c>
    </row>
    <row r="193" spans="1:14">
      <c r="A193" t="s">
        <v>908</v>
      </c>
      <c r="B193" t="s">
        <v>934</v>
      </c>
      <c r="C193" s="29" t="s">
        <v>680</v>
      </c>
      <c r="D193" t="s">
        <v>681</v>
      </c>
      <c r="E193" t="s">
        <v>1315</v>
      </c>
      <c r="F193" t="s">
        <v>1316</v>
      </c>
      <c r="G193" t="s">
        <v>917</v>
      </c>
      <c r="H193" s="14" t="s">
        <v>682</v>
      </c>
      <c r="I193" s="23">
        <v>43391</v>
      </c>
      <c r="J193" s="27">
        <v>24</v>
      </c>
      <c r="K193" s="17">
        <f t="shared" si="2"/>
        <v>12</v>
      </c>
      <c r="L193" s="4">
        <v>42675</v>
      </c>
      <c r="M193" s="4">
        <v>43391</v>
      </c>
      <c r="N193" s="27">
        <v>24</v>
      </c>
    </row>
    <row r="194" spans="1:14">
      <c r="A194" t="s">
        <v>811</v>
      </c>
      <c r="B194" t="s">
        <v>1505</v>
      </c>
      <c r="C194" s="29" t="s">
        <v>351</v>
      </c>
      <c r="D194" t="s">
        <v>352</v>
      </c>
      <c r="E194" t="s">
        <v>1317</v>
      </c>
      <c r="F194" t="s">
        <v>1318</v>
      </c>
      <c r="G194" t="s">
        <v>879</v>
      </c>
      <c r="H194" s="14" t="s">
        <v>353</v>
      </c>
      <c r="I194" s="14">
        <v>43100</v>
      </c>
      <c r="J194" s="27">
        <v>24</v>
      </c>
      <c r="K194" s="19">
        <f t="shared" si="2"/>
        <v>804</v>
      </c>
      <c r="L194" s="4">
        <v>42370</v>
      </c>
      <c r="M194" s="4">
        <v>43100</v>
      </c>
      <c r="N194" s="27">
        <v>24</v>
      </c>
    </row>
    <row r="195" spans="1:14">
      <c r="A195" t="s">
        <v>811</v>
      </c>
      <c r="B195" t="s">
        <v>1505</v>
      </c>
      <c r="C195" s="29" t="s">
        <v>354</v>
      </c>
      <c r="D195" t="s">
        <v>355</v>
      </c>
      <c r="E195" t="s">
        <v>1319</v>
      </c>
      <c r="F195" t="s">
        <v>1320</v>
      </c>
      <c r="G195" t="s">
        <v>879</v>
      </c>
      <c r="H195" s="14" t="s">
        <v>356</v>
      </c>
      <c r="I195" s="23">
        <v>43296</v>
      </c>
      <c r="J195" s="27">
        <v>24</v>
      </c>
      <c r="K195" s="19">
        <f t="shared" ref="K195:K258" si="3">_xlfn.DAYS(L195,H195)</f>
        <v>682</v>
      </c>
      <c r="L195" s="4">
        <v>42200</v>
      </c>
      <c r="M195" s="4">
        <v>43296</v>
      </c>
      <c r="N195" s="27">
        <v>24</v>
      </c>
    </row>
    <row r="196" spans="1:14">
      <c r="A196" t="s">
        <v>907</v>
      </c>
      <c r="B196" t="s">
        <v>934</v>
      </c>
      <c r="C196" s="29" t="s">
        <v>678</v>
      </c>
      <c r="D196" t="s">
        <v>679</v>
      </c>
      <c r="E196" t="s">
        <v>1321</v>
      </c>
      <c r="F196" t="s">
        <v>1322</v>
      </c>
      <c r="G196" t="s">
        <v>916</v>
      </c>
      <c r="H196" s="14" t="s">
        <v>435</v>
      </c>
      <c r="I196" s="23">
        <v>43131</v>
      </c>
      <c r="J196" s="27">
        <v>24</v>
      </c>
      <c r="K196" s="17">
        <f t="shared" si="3"/>
        <v>89</v>
      </c>
      <c r="L196" s="4">
        <v>42125</v>
      </c>
      <c r="M196" s="4">
        <v>43131</v>
      </c>
      <c r="N196" s="27">
        <v>24</v>
      </c>
    </row>
    <row r="197" spans="1:14">
      <c r="A197" t="s">
        <v>821</v>
      </c>
      <c r="B197" t="s">
        <v>1505</v>
      </c>
      <c r="C197" s="29" t="s">
        <v>414</v>
      </c>
      <c r="D197" t="s">
        <v>415</v>
      </c>
      <c r="E197" t="s">
        <v>1323</v>
      </c>
      <c r="F197" t="s">
        <v>1324</v>
      </c>
      <c r="G197" t="s">
        <v>889</v>
      </c>
      <c r="H197" s="14" t="s">
        <v>416</v>
      </c>
      <c r="I197" s="14">
        <v>43920</v>
      </c>
      <c r="J197" s="27">
        <v>48</v>
      </c>
      <c r="K197" s="19">
        <f t="shared" si="3"/>
        <v>2325</v>
      </c>
      <c r="L197" s="4">
        <v>42461</v>
      </c>
      <c r="M197" s="4">
        <v>43920</v>
      </c>
      <c r="N197" s="27">
        <v>36</v>
      </c>
    </row>
    <row r="198" spans="1:14">
      <c r="A198" t="s">
        <v>821</v>
      </c>
      <c r="B198" t="s">
        <v>1505</v>
      </c>
      <c r="C198" s="29" t="s">
        <v>420</v>
      </c>
      <c r="D198" t="s">
        <v>421</v>
      </c>
      <c r="E198" t="s">
        <v>1325</v>
      </c>
      <c r="F198" t="s">
        <v>1326</v>
      </c>
      <c r="G198" t="s">
        <v>889</v>
      </c>
      <c r="H198" s="14" t="s">
        <v>422</v>
      </c>
      <c r="I198" s="23">
        <v>43084</v>
      </c>
      <c r="J198" s="27">
        <v>24</v>
      </c>
      <c r="K198" s="19">
        <f t="shared" si="3"/>
        <v>1445</v>
      </c>
      <c r="L198" s="4">
        <v>41974</v>
      </c>
      <c r="M198" s="4">
        <v>43084</v>
      </c>
      <c r="N198" s="27">
        <v>24</v>
      </c>
    </row>
    <row r="199" spans="1:14">
      <c r="A199" t="s">
        <v>821</v>
      </c>
      <c r="B199" t="s">
        <v>1505</v>
      </c>
      <c r="C199" s="29" t="s">
        <v>89</v>
      </c>
      <c r="D199" t="s">
        <v>90</v>
      </c>
      <c r="E199" t="s">
        <v>1327</v>
      </c>
      <c r="F199" t="s">
        <v>1328</v>
      </c>
      <c r="G199" t="s">
        <v>889</v>
      </c>
      <c r="H199" s="14" t="s">
        <v>91</v>
      </c>
      <c r="I199" s="14">
        <v>43404</v>
      </c>
      <c r="J199" s="27">
        <v>15</v>
      </c>
      <c r="K199" s="19">
        <f t="shared" si="3"/>
        <v>184</v>
      </c>
      <c r="L199" s="4">
        <v>42767</v>
      </c>
      <c r="M199" s="4">
        <v>43404</v>
      </c>
      <c r="N199" s="27">
        <v>20</v>
      </c>
    </row>
    <row r="200" spans="1:14">
      <c r="A200" t="s">
        <v>821</v>
      </c>
      <c r="B200" t="s">
        <v>1505</v>
      </c>
      <c r="C200" s="29" t="s">
        <v>417</v>
      </c>
      <c r="D200" t="s">
        <v>418</v>
      </c>
      <c r="E200" t="s">
        <v>1329</v>
      </c>
      <c r="F200" t="s">
        <v>1330</v>
      </c>
      <c r="G200" t="s">
        <v>889</v>
      </c>
      <c r="H200" s="14" t="s">
        <v>419</v>
      </c>
      <c r="I200" s="14">
        <v>43540</v>
      </c>
      <c r="J200" s="27">
        <v>24</v>
      </c>
      <c r="K200" s="19">
        <f t="shared" si="3"/>
        <v>15</v>
      </c>
      <c r="L200" s="4">
        <v>42826</v>
      </c>
      <c r="M200" s="4">
        <v>43540</v>
      </c>
      <c r="N200" s="27">
        <v>24</v>
      </c>
    </row>
    <row r="201" spans="1:14">
      <c r="A201" t="s">
        <v>821</v>
      </c>
      <c r="B201" t="s">
        <v>934</v>
      </c>
      <c r="C201" s="29" t="s">
        <v>711</v>
      </c>
      <c r="D201" t="s">
        <v>712</v>
      </c>
      <c r="E201" t="s">
        <v>1331</v>
      </c>
      <c r="F201" t="s">
        <v>1332</v>
      </c>
      <c r="G201" t="s">
        <v>889</v>
      </c>
      <c r="H201" s="14" t="s">
        <v>713</v>
      </c>
      <c r="I201" s="23">
        <v>43379</v>
      </c>
      <c r="J201" s="27">
        <v>24</v>
      </c>
      <c r="K201" s="17">
        <f t="shared" si="3"/>
        <v>-36</v>
      </c>
      <c r="L201" s="4">
        <v>42248</v>
      </c>
      <c r="M201" s="4">
        <v>43373</v>
      </c>
      <c r="N201" s="27">
        <v>24</v>
      </c>
    </row>
    <row r="202" spans="1:14">
      <c r="A202" t="s">
        <v>771</v>
      </c>
      <c r="B202" t="s">
        <v>1505</v>
      </c>
      <c r="C202" s="29" t="s">
        <v>141</v>
      </c>
      <c r="D202" t="s">
        <v>142</v>
      </c>
      <c r="E202" t="s">
        <v>1333</v>
      </c>
      <c r="F202" t="s">
        <v>1334</v>
      </c>
      <c r="G202" t="s">
        <v>839</v>
      </c>
      <c r="H202" s="14" t="s">
        <v>143</v>
      </c>
      <c r="I202" s="23">
        <v>43219</v>
      </c>
      <c r="J202" s="27">
        <v>24</v>
      </c>
      <c r="K202" s="19">
        <f t="shared" si="3"/>
        <v>2152</v>
      </c>
      <c r="L202" s="4">
        <v>42491</v>
      </c>
      <c r="M202" s="4">
        <v>43585</v>
      </c>
      <c r="N202" s="27">
        <v>24</v>
      </c>
    </row>
    <row r="203" spans="1:14">
      <c r="A203" t="s">
        <v>771</v>
      </c>
      <c r="B203" t="s">
        <v>1505</v>
      </c>
      <c r="C203" s="29" t="s">
        <v>160</v>
      </c>
      <c r="D203" t="s">
        <v>161</v>
      </c>
      <c r="E203" t="s">
        <v>1335</v>
      </c>
      <c r="F203" t="s">
        <v>1336</v>
      </c>
      <c r="G203" t="s">
        <v>839</v>
      </c>
      <c r="H203" s="14" t="s">
        <v>162</v>
      </c>
      <c r="I203" s="23">
        <v>43708</v>
      </c>
      <c r="J203" s="27">
        <v>36</v>
      </c>
      <c r="K203" s="19">
        <f t="shared" si="3"/>
        <v>2333</v>
      </c>
      <c r="L203" s="4">
        <v>42979</v>
      </c>
      <c r="M203" s="4">
        <v>43708</v>
      </c>
      <c r="N203" s="27">
        <v>24</v>
      </c>
    </row>
    <row r="204" spans="1:14">
      <c r="A204" t="s">
        <v>771</v>
      </c>
      <c r="B204" t="s">
        <v>1505</v>
      </c>
      <c r="C204" s="29" t="s">
        <v>166</v>
      </c>
      <c r="D204" t="s">
        <v>167</v>
      </c>
      <c r="E204" t="s">
        <v>1337</v>
      </c>
      <c r="F204" t="s">
        <v>1338</v>
      </c>
      <c r="G204" t="s">
        <v>839</v>
      </c>
      <c r="H204" s="14" t="s">
        <v>168</v>
      </c>
      <c r="I204" s="23">
        <v>43281</v>
      </c>
      <c r="J204" s="27">
        <v>12</v>
      </c>
      <c r="K204" s="19">
        <f t="shared" si="3"/>
        <v>2214</v>
      </c>
      <c r="L204" s="4">
        <v>42917</v>
      </c>
      <c r="M204" s="4">
        <v>43281</v>
      </c>
      <c r="N204" s="27">
        <v>12</v>
      </c>
    </row>
    <row r="205" spans="1:14">
      <c r="A205" t="s">
        <v>771</v>
      </c>
      <c r="B205" t="s">
        <v>1505</v>
      </c>
      <c r="C205" s="29" t="s">
        <v>144</v>
      </c>
      <c r="D205" t="s">
        <v>145</v>
      </c>
      <c r="E205" t="s">
        <v>1339</v>
      </c>
      <c r="F205" t="s">
        <v>1340</v>
      </c>
      <c r="G205" t="s">
        <v>839</v>
      </c>
      <c r="H205" s="14" t="s">
        <v>70</v>
      </c>
      <c r="I205" s="23">
        <v>43465</v>
      </c>
      <c r="J205" s="27">
        <v>32</v>
      </c>
      <c r="K205" s="19">
        <f t="shared" si="3"/>
        <v>1522</v>
      </c>
      <c r="L205" s="4">
        <v>42736</v>
      </c>
      <c r="M205" s="4">
        <v>43465</v>
      </c>
      <c r="N205" s="27">
        <v>24</v>
      </c>
    </row>
    <row r="206" spans="1:14">
      <c r="A206" t="s">
        <v>771</v>
      </c>
      <c r="B206" t="s">
        <v>1505</v>
      </c>
      <c r="C206" s="29" t="s">
        <v>146</v>
      </c>
      <c r="D206" t="s">
        <v>147</v>
      </c>
      <c r="E206" t="s">
        <v>1341</v>
      </c>
      <c r="F206" t="s">
        <v>1342</v>
      </c>
      <c r="G206" t="s">
        <v>839</v>
      </c>
      <c r="H206" s="14" t="s">
        <v>148</v>
      </c>
      <c r="I206" s="23">
        <v>43299</v>
      </c>
      <c r="J206" s="27">
        <v>24</v>
      </c>
      <c r="K206" s="19">
        <f t="shared" si="3"/>
        <v>695</v>
      </c>
      <c r="L206" s="4">
        <v>42461</v>
      </c>
      <c r="M206" s="4">
        <v>43299</v>
      </c>
      <c r="N206" s="27">
        <v>24</v>
      </c>
    </row>
    <row r="207" spans="1:14">
      <c r="A207" t="s">
        <v>771</v>
      </c>
      <c r="B207" t="s">
        <v>1505</v>
      </c>
      <c r="C207" s="29" t="s">
        <v>149</v>
      </c>
      <c r="D207" t="s">
        <v>150</v>
      </c>
      <c r="E207" t="s">
        <v>1343</v>
      </c>
      <c r="F207" t="s">
        <v>1344</v>
      </c>
      <c r="G207" t="s">
        <v>839</v>
      </c>
      <c r="H207" s="14" t="s">
        <v>151</v>
      </c>
      <c r="I207" s="23">
        <v>43159</v>
      </c>
      <c r="J207" s="27">
        <v>24</v>
      </c>
      <c r="K207" s="19">
        <f t="shared" si="3"/>
        <v>640</v>
      </c>
      <c r="L207" s="4">
        <v>42430</v>
      </c>
      <c r="M207" s="4">
        <v>43159</v>
      </c>
      <c r="N207" s="27">
        <v>24</v>
      </c>
    </row>
    <row r="208" spans="1:14">
      <c r="A208" t="s">
        <v>771</v>
      </c>
      <c r="B208" t="s">
        <v>1505</v>
      </c>
      <c r="C208" s="29" t="s">
        <v>152</v>
      </c>
      <c r="D208" t="s">
        <v>153</v>
      </c>
      <c r="E208" t="s">
        <v>1345</v>
      </c>
      <c r="F208" t="s">
        <v>1346</v>
      </c>
      <c r="G208" t="s">
        <v>839</v>
      </c>
      <c r="H208" s="14" t="s">
        <v>154</v>
      </c>
      <c r="I208" s="14">
        <v>43738</v>
      </c>
      <c r="J208" s="27">
        <v>24</v>
      </c>
      <c r="K208" s="19">
        <f t="shared" si="3"/>
        <v>1206</v>
      </c>
      <c r="L208" s="4">
        <v>43009</v>
      </c>
      <c r="M208" s="4">
        <v>43738</v>
      </c>
      <c r="N208" s="27">
        <v>24</v>
      </c>
    </row>
    <row r="209" spans="1:14">
      <c r="A209" t="s">
        <v>771</v>
      </c>
      <c r="B209" t="s">
        <v>1505</v>
      </c>
      <c r="C209" s="29" t="s">
        <v>155</v>
      </c>
      <c r="D209" t="s">
        <v>156</v>
      </c>
      <c r="E209" t="s">
        <v>1347</v>
      </c>
      <c r="F209" t="s">
        <v>1348</v>
      </c>
      <c r="G209" t="s">
        <v>839</v>
      </c>
      <c r="H209" s="14" t="s">
        <v>154</v>
      </c>
      <c r="I209" s="23">
        <v>43281</v>
      </c>
      <c r="J209" s="27">
        <v>24</v>
      </c>
      <c r="K209" s="19">
        <f t="shared" si="3"/>
        <v>749</v>
      </c>
      <c r="L209" s="4">
        <v>42552</v>
      </c>
      <c r="M209" s="4">
        <v>43281</v>
      </c>
      <c r="N209" s="27">
        <v>24</v>
      </c>
    </row>
    <row r="210" spans="1:14">
      <c r="A210" t="s">
        <v>771</v>
      </c>
      <c r="B210" t="s">
        <v>1505</v>
      </c>
      <c r="C210" s="29" t="s">
        <v>169</v>
      </c>
      <c r="D210" t="s">
        <v>170</v>
      </c>
      <c r="E210" t="s">
        <v>1349</v>
      </c>
      <c r="F210" t="s">
        <v>1350</v>
      </c>
      <c r="G210" t="s">
        <v>839</v>
      </c>
      <c r="H210" s="14" t="s">
        <v>171</v>
      </c>
      <c r="I210" s="23">
        <v>43982</v>
      </c>
      <c r="J210" s="27">
        <v>36</v>
      </c>
      <c r="K210" s="19">
        <f t="shared" si="3"/>
        <v>1028</v>
      </c>
      <c r="L210" s="4">
        <v>42887</v>
      </c>
      <c r="M210" s="4">
        <v>43982</v>
      </c>
      <c r="N210" s="27">
        <v>36</v>
      </c>
    </row>
    <row r="211" spans="1:14">
      <c r="A211" t="s">
        <v>771</v>
      </c>
      <c r="B211" t="s">
        <v>1505</v>
      </c>
      <c r="C211" s="29" t="s">
        <v>163</v>
      </c>
      <c r="D211" t="s">
        <v>164</v>
      </c>
      <c r="E211" t="s">
        <v>1351</v>
      </c>
      <c r="F211" t="s">
        <v>1352</v>
      </c>
      <c r="G211" t="s">
        <v>839</v>
      </c>
      <c r="H211" s="14" t="s">
        <v>165</v>
      </c>
      <c r="I211" s="14">
        <v>43404</v>
      </c>
      <c r="J211" s="27">
        <v>12</v>
      </c>
      <c r="K211" s="19">
        <f t="shared" si="3"/>
        <v>719</v>
      </c>
      <c r="L211" s="4">
        <v>42675</v>
      </c>
      <c r="M211" s="4">
        <v>43404</v>
      </c>
      <c r="N211" s="27">
        <v>12</v>
      </c>
    </row>
    <row r="212" spans="1:14">
      <c r="A212" t="s">
        <v>771</v>
      </c>
      <c r="B212" t="s">
        <v>1505</v>
      </c>
      <c r="C212" s="29" t="s">
        <v>157</v>
      </c>
      <c r="D212" t="s">
        <v>158</v>
      </c>
      <c r="E212" t="s">
        <v>1353</v>
      </c>
      <c r="F212" t="s">
        <v>1354</v>
      </c>
      <c r="G212" t="s">
        <v>839</v>
      </c>
      <c r="H212" s="14" t="s">
        <v>159</v>
      </c>
      <c r="I212" s="23">
        <v>43465</v>
      </c>
      <c r="J212" s="27">
        <v>24</v>
      </c>
      <c r="K212" s="19">
        <f t="shared" si="3"/>
        <v>752</v>
      </c>
      <c r="L212" s="4">
        <v>42736</v>
      </c>
      <c r="M212" s="4">
        <v>43465</v>
      </c>
      <c r="N212" s="27">
        <v>24</v>
      </c>
    </row>
    <row r="213" spans="1:14">
      <c r="A213" t="s">
        <v>771</v>
      </c>
      <c r="B213" t="s">
        <v>1505</v>
      </c>
      <c r="C213" s="29" t="s">
        <v>172</v>
      </c>
      <c r="D213" t="s">
        <v>173</v>
      </c>
      <c r="E213" t="s">
        <v>1355</v>
      </c>
      <c r="F213" t="s">
        <v>1356</v>
      </c>
      <c r="G213" t="s">
        <v>839</v>
      </c>
      <c r="H213" s="14" t="s">
        <v>174</v>
      </c>
      <c r="I213" s="23">
        <v>43524</v>
      </c>
      <c r="J213" s="27">
        <v>24</v>
      </c>
      <c r="K213" s="19">
        <f t="shared" si="3"/>
        <v>750</v>
      </c>
      <c r="L213" s="4">
        <v>42795</v>
      </c>
      <c r="M213" s="4">
        <v>43524</v>
      </c>
      <c r="N213" s="27">
        <v>24</v>
      </c>
    </row>
    <row r="214" spans="1:14">
      <c r="A214" t="s">
        <v>771</v>
      </c>
      <c r="B214" t="s">
        <v>1505</v>
      </c>
      <c r="C214" s="29" t="s">
        <v>175</v>
      </c>
      <c r="D214" t="s">
        <v>176</v>
      </c>
      <c r="E214" t="s">
        <v>1357</v>
      </c>
      <c r="F214" t="s">
        <v>1358</v>
      </c>
      <c r="G214" t="s">
        <v>839</v>
      </c>
      <c r="H214" s="14" t="s">
        <v>177</v>
      </c>
      <c r="I214" s="23">
        <v>43677</v>
      </c>
      <c r="J214" s="27">
        <v>24</v>
      </c>
      <c r="K214" s="19">
        <f t="shared" si="3"/>
        <v>753</v>
      </c>
      <c r="L214" s="4">
        <v>42948</v>
      </c>
      <c r="M214" s="4">
        <v>43677</v>
      </c>
      <c r="N214" s="27">
        <v>24</v>
      </c>
    </row>
    <row r="215" spans="1:14">
      <c r="A215" t="s">
        <v>771</v>
      </c>
      <c r="B215" t="s">
        <v>1505</v>
      </c>
      <c r="C215" s="29" t="s">
        <v>5</v>
      </c>
      <c r="D215" t="s">
        <v>6</v>
      </c>
      <c r="E215" t="s">
        <v>1359</v>
      </c>
      <c r="F215" t="s">
        <v>1360</v>
      </c>
      <c r="G215" t="s">
        <v>839</v>
      </c>
      <c r="H215" s="14" t="s">
        <v>7</v>
      </c>
      <c r="I215" s="23">
        <v>43281</v>
      </c>
      <c r="J215" s="27">
        <v>18</v>
      </c>
      <c r="K215" s="19">
        <f t="shared" si="3"/>
        <v>540</v>
      </c>
      <c r="L215" s="4">
        <v>42736</v>
      </c>
      <c r="M215" s="4">
        <v>43465</v>
      </c>
      <c r="N215" s="27">
        <v>24</v>
      </c>
    </row>
    <row r="216" spans="1:14">
      <c r="A216" t="s">
        <v>771</v>
      </c>
      <c r="B216" t="s">
        <v>934</v>
      </c>
      <c r="C216" s="29" t="s">
        <v>526</v>
      </c>
      <c r="D216" t="s">
        <v>527</v>
      </c>
      <c r="E216" t="s">
        <v>1361</v>
      </c>
      <c r="F216" t="s">
        <v>1362</v>
      </c>
      <c r="G216" t="s">
        <v>839</v>
      </c>
      <c r="H216" s="14" t="s">
        <v>528</v>
      </c>
      <c r="I216" s="23">
        <v>43343</v>
      </c>
      <c r="J216" s="27">
        <v>12</v>
      </c>
      <c r="K216" s="17">
        <f t="shared" si="3"/>
        <v>343</v>
      </c>
      <c r="L216" s="4">
        <v>42979</v>
      </c>
      <c r="M216" s="4">
        <v>43343</v>
      </c>
      <c r="N216" s="27">
        <v>12</v>
      </c>
    </row>
    <row r="217" spans="1:14">
      <c r="A217" t="s">
        <v>808</v>
      </c>
      <c r="B217" t="s">
        <v>1505</v>
      </c>
      <c r="C217" s="29" t="s">
        <v>330</v>
      </c>
      <c r="D217" t="s">
        <v>331</v>
      </c>
      <c r="E217" t="s">
        <v>1363</v>
      </c>
      <c r="F217" t="s">
        <v>1364</v>
      </c>
      <c r="G217" t="s">
        <v>876</v>
      </c>
      <c r="H217" s="14" t="s">
        <v>332</v>
      </c>
      <c r="I217" s="14">
        <v>43098</v>
      </c>
      <c r="J217" s="27">
        <v>24</v>
      </c>
      <c r="K217" s="19">
        <f t="shared" si="3"/>
        <v>2189</v>
      </c>
      <c r="L217" s="4">
        <v>42368</v>
      </c>
      <c r="M217" s="6">
        <v>43098</v>
      </c>
      <c r="N217" s="27">
        <v>24</v>
      </c>
    </row>
    <row r="218" spans="1:14">
      <c r="A218" t="s">
        <v>808</v>
      </c>
      <c r="B218" t="s">
        <v>1505</v>
      </c>
      <c r="C218" s="10" t="s">
        <v>333</v>
      </c>
      <c r="D218" s="10" t="s">
        <v>334</v>
      </c>
      <c r="E218">
        <v>31329217</v>
      </c>
      <c r="F218" t="s">
        <v>1365</v>
      </c>
      <c r="G218" t="s">
        <v>876</v>
      </c>
      <c r="H218" s="14" t="s">
        <v>335</v>
      </c>
      <c r="I218" s="23">
        <v>43981</v>
      </c>
      <c r="J218" s="27">
        <v>31</v>
      </c>
      <c r="K218" s="19">
        <f t="shared" si="3"/>
        <v>-3061</v>
      </c>
      <c r="L218" s="4">
        <v>39980</v>
      </c>
      <c r="M218" s="4">
        <v>43981</v>
      </c>
      <c r="N218" s="27">
        <v>31</v>
      </c>
    </row>
    <row r="219" spans="1:14">
      <c r="A219" t="s">
        <v>808</v>
      </c>
      <c r="B219" t="s">
        <v>934</v>
      </c>
      <c r="C219" s="29" t="s">
        <v>648</v>
      </c>
      <c r="D219" t="s">
        <v>649</v>
      </c>
      <c r="E219" t="s">
        <v>1366</v>
      </c>
      <c r="F219" t="s">
        <v>1367</v>
      </c>
      <c r="G219" t="s">
        <v>876</v>
      </c>
      <c r="H219" s="14" t="s">
        <v>650</v>
      </c>
      <c r="I219" s="23">
        <v>43210</v>
      </c>
      <c r="J219" s="27">
        <v>24</v>
      </c>
      <c r="K219" s="17">
        <f t="shared" si="3"/>
        <v>375</v>
      </c>
      <c r="L219" s="4">
        <v>41761</v>
      </c>
      <c r="M219" s="4">
        <v>42482</v>
      </c>
      <c r="N219" s="27">
        <v>24</v>
      </c>
    </row>
    <row r="220" spans="1:14">
      <c r="A220" t="s">
        <v>808</v>
      </c>
      <c r="B220" t="s">
        <v>934</v>
      </c>
      <c r="C220" s="10" t="s">
        <v>651</v>
      </c>
      <c r="D220" s="10" t="s">
        <v>652</v>
      </c>
      <c r="E220">
        <v>36035092</v>
      </c>
      <c r="F220" t="s">
        <v>1368</v>
      </c>
      <c r="G220" t="s">
        <v>876</v>
      </c>
      <c r="H220" s="14" t="s">
        <v>653</v>
      </c>
      <c r="I220" s="23">
        <v>43710</v>
      </c>
      <c r="J220" s="27">
        <v>24</v>
      </c>
      <c r="K220" s="17">
        <f t="shared" si="3"/>
        <v>-3506</v>
      </c>
      <c r="L220" s="4">
        <v>39475</v>
      </c>
      <c r="M220" s="4">
        <v>43710</v>
      </c>
      <c r="N220" s="27">
        <v>24</v>
      </c>
    </row>
    <row r="221" spans="1:14">
      <c r="A221" t="s">
        <v>808</v>
      </c>
      <c r="B221" t="s">
        <v>934</v>
      </c>
      <c r="C221" s="10" t="s">
        <v>654</v>
      </c>
      <c r="D221" s="10" t="s">
        <v>655</v>
      </c>
      <c r="E221">
        <v>46393226</v>
      </c>
      <c r="F221" t="s">
        <v>1369</v>
      </c>
      <c r="G221" t="s">
        <v>876</v>
      </c>
      <c r="H221" s="14" t="s">
        <v>656</v>
      </c>
      <c r="I221" s="23">
        <v>43160</v>
      </c>
      <c r="J221" s="27">
        <v>5</v>
      </c>
      <c r="K221" s="17">
        <f t="shared" si="3"/>
        <v>-3623</v>
      </c>
      <c r="L221" s="4">
        <v>39386</v>
      </c>
      <c r="M221" s="4">
        <v>43160</v>
      </c>
      <c r="N221" s="27">
        <v>5</v>
      </c>
    </row>
    <row r="222" spans="1:14">
      <c r="A222" t="s">
        <v>815</v>
      </c>
      <c r="B222" t="s">
        <v>1505</v>
      </c>
      <c r="C222" s="29" t="s">
        <v>375</v>
      </c>
      <c r="D222" t="s">
        <v>376</v>
      </c>
      <c r="E222" t="s">
        <v>1370</v>
      </c>
      <c r="F222" t="s">
        <v>1371</v>
      </c>
      <c r="G222" t="s">
        <v>883</v>
      </c>
      <c r="H222" s="14" t="s">
        <v>377</v>
      </c>
      <c r="I222" s="14">
        <v>43433</v>
      </c>
      <c r="J222" s="27">
        <v>24</v>
      </c>
      <c r="K222" s="19">
        <f t="shared" si="3"/>
        <v>2617</v>
      </c>
      <c r="L222" s="4">
        <v>42339</v>
      </c>
      <c r="M222" s="4">
        <v>43433</v>
      </c>
      <c r="N222" s="27">
        <v>24</v>
      </c>
    </row>
    <row r="223" spans="1:14">
      <c r="A223" t="s">
        <v>815</v>
      </c>
      <c r="B223" t="s">
        <v>1505</v>
      </c>
      <c r="C223" s="29" t="s">
        <v>378</v>
      </c>
      <c r="D223" t="s">
        <v>379</v>
      </c>
      <c r="E223" t="s">
        <v>1372</v>
      </c>
      <c r="F223" t="s">
        <v>1373</v>
      </c>
      <c r="G223" t="s">
        <v>883</v>
      </c>
      <c r="H223" s="14" t="s">
        <v>380</v>
      </c>
      <c r="I223" s="14">
        <v>43434</v>
      </c>
      <c r="J223" s="27">
        <v>24</v>
      </c>
      <c r="K223" s="19">
        <f t="shared" si="3"/>
        <v>1792</v>
      </c>
      <c r="L223" s="4">
        <v>42339</v>
      </c>
      <c r="M223" s="4">
        <v>43434</v>
      </c>
      <c r="N223" s="27">
        <v>24</v>
      </c>
    </row>
    <row r="224" spans="1:14">
      <c r="A224" t="s">
        <v>815</v>
      </c>
      <c r="B224" t="s">
        <v>1505</v>
      </c>
      <c r="C224" s="29" t="s">
        <v>381</v>
      </c>
      <c r="D224" t="s">
        <v>382</v>
      </c>
      <c r="E224" t="s">
        <v>1374</v>
      </c>
      <c r="F224" t="s">
        <v>1375</v>
      </c>
      <c r="G224" t="s">
        <v>883</v>
      </c>
      <c r="H224" s="14" t="s">
        <v>70</v>
      </c>
      <c r="I224" s="14">
        <v>43404</v>
      </c>
      <c r="J224" s="27">
        <v>36</v>
      </c>
      <c r="K224" s="19">
        <f t="shared" si="3"/>
        <v>730</v>
      </c>
      <c r="L224" s="4">
        <v>41944</v>
      </c>
      <c r="M224" s="4">
        <v>43404</v>
      </c>
      <c r="N224" s="27">
        <v>36</v>
      </c>
    </row>
    <row r="225" spans="1:14">
      <c r="A225" t="s">
        <v>815</v>
      </c>
      <c r="B225" t="s">
        <v>1505</v>
      </c>
      <c r="C225" s="29" t="s">
        <v>372</v>
      </c>
      <c r="D225" t="s">
        <v>373</v>
      </c>
      <c r="E225" t="s">
        <v>1376</v>
      </c>
      <c r="F225" t="s">
        <v>1377</v>
      </c>
      <c r="G225" t="s">
        <v>883</v>
      </c>
      <c r="H225" s="14" t="s">
        <v>374</v>
      </c>
      <c r="I225" s="23">
        <v>43496</v>
      </c>
      <c r="J225" s="27">
        <v>24</v>
      </c>
      <c r="K225" s="19">
        <f t="shared" si="3"/>
        <v>780</v>
      </c>
      <c r="L225" s="4">
        <v>42766</v>
      </c>
      <c r="M225" s="4">
        <v>43496</v>
      </c>
      <c r="N225" s="27">
        <v>24</v>
      </c>
    </row>
    <row r="226" spans="1:14">
      <c r="A226" t="s">
        <v>817</v>
      </c>
      <c r="B226" t="s">
        <v>1505</v>
      </c>
      <c r="C226" s="29" t="s">
        <v>392</v>
      </c>
      <c r="D226" t="s">
        <v>393</v>
      </c>
      <c r="E226" t="s">
        <v>1378</v>
      </c>
      <c r="F226" t="s">
        <v>1379</v>
      </c>
      <c r="G226" t="s">
        <v>885</v>
      </c>
      <c r="H226" s="14" t="s">
        <v>394</v>
      </c>
      <c r="I226" s="14">
        <v>43651</v>
      </c>
      <c r="J226" s="27">
        <v>36</v>
      </c>
      <c r="K226" s="19">
        <f t="shared" si="3"/>
        <v>-49</v>
      </c>
      <c r="L226" s="4">
        <v>39598</v>
      </c>
      <c r="M226" s="4">
        <v>43651</v>
      </c>
      <c r="N226" s="27">
        <v>36</v>
      </c>
    </row>
    <row r="227" spans="1:14">
      <c r="A227" t="s">
        <v>817</v>
      </c>
      <c r="B227" t="s">
        <v>1505</v>
      </c>
      <c r="C227" s="29" t="s">
        <v>83</v>
      </c>
      <c r="D227" t="s">
        <v>84</v>
      </c>
      <c r="E227" t="s">
        <v>1380</v>
      </c>
      <c r="F227" t="s">
        <v>1381</v>
      </c>
      <c r="G227" t="s">
        <v>885</v>
      </c>
      <c r="H227" s="14" t="s">
        <v>85</v>
      </c>
      <c r="I227" s="14">
        <v>44104</v>
      </c>
      <c r="J227" s="27">
        <v>24</v>
      </c>
      <c r="K227" s="19">
        <f t="shared" si="3"/>
        <v>456</v>
      </c>
      <c r="L227" s="4">
        <v>41456</v>
      </c>
      <c r="M227" s="4">
        <v>44104</v>
      </c>
      <c r="N227" s="27">
        <v>36</v>
      </c>
    </row>
    <row r="228" spans="1:14">
      <c r="A228" t="s">
        <v>817</v>
      </c>
      <c r="B228" t="s">
        <v>1505</v>
      </c>
      <c r="C228" s="29" t="s">
        <v>400</v>
      </c>
      <c r="D228" t="s">
        <v>401</v>
      </c>
      <c r="E228" t="s">
        <v>1382</v>
      </c>
      <c r="F228" t="s">
        <v>1383</v>
      </c>
      <c r="G228" t="s">
        <v>885</v>
      </c>
      <c r="H228" s="14" t="s">
        <v>326</v>
      </c>
      <c r="I228" s="14">
        <v>43404</v>
      </c>
      <c r="J228" s="27">
        <v>24</v>
      </c>
      <c r="K228" s="19">
        <f t="shared" si="3"/>
        <v>32</v>
      </c>
      <c r="L228" s="4">
        <v>41519</v>
      </c>
      <c r="M228" s="4">
        <v>43404</v>
      </c>
      <c r="N228" s="27">
        <v>24</v>
      </c>
    </row>
    <row r="229" spans="1:14">
      <c r="A229" t="s">
        <v>817</v>
      </c>
      <c r="B229" t="s">
        <v>1505</v>
      </c>
      <c r="C229" s="29" t="s">
        <v>86</v>
      </c>
      <c r="D229" t="s">
        <v>87</v>
      </c>
      <c r="E229" t="s">
        <v>1384</v>
      </c>
      <c r="F229" t="s">
        <v>1385</v>
      </c>
      <c r="G229" t="s">
        <v>885</v>
      </c>
      <c r="H229" s="14" t="s">
        <v>88</v>
      </c>
      <c r="I229" s="14">
        <v>43139</v>
      </c>
      <c r="J229" s="27">
        <v>24</v>
      </c>
      <c r="K229" s="19">
        <f t="shared" si="3"/>
        <v>-77</v>
      </c>
      <c r="L229" s="4">
        <v>41318</v>
      </c>
      <c r="M229" s="4">
        <v>43139</v>
      </c>
      <c r="N229" s="27">
        <v>12</v>
      </c>
    </row>
    <row r="230" spans="1:14">
      <c r="A230" t="s">
        <v>817</v>
      </c>
      <c r="B230" t="s">
        <v>1505</v>
      </c>
      <c r="C230" s="29" t="s">
        <v>395</v>
      </c>
      <c r="D230" t="s">
        <v>396</v>
      </c>
      <c r="E230" t="s">
        <v>1386</v>
      </c>
      <c r="F230" t="s">
        <v>1387</v>
      </c>
      <c r="G230" t="s">
        <v>885</v>
      </c>
      <c r="H230" s="14" t="s">
        <v>121</v>
      </c>
      <c r="I230" s="14">
        <v>43738</v>
      </c>
      <c r="J230" s="27">
        <v>24</v>
      </c>
      <c r="K230" s="19">
        <f t="shared" si="3"/>
        <v>-125</v>
      </c>
      <c r="L230" s="4">
        <v>41454</v>
      </c>
      <c r="M230" s="4">
        <v>43738</v>
      </c>
      <c r="N230" s="27">
        <v>24</v>
      </c>
    </row>
    <row r="231" spans="1:14">
      <c r="A231" t="s">
        <v>817</v>
      </c>
      <c r="B231" t="s">
        <v>1505</v>
      </c>
      <c r="C231" s="29" t="s">
        <v>397</v>
      </c>
      <c r="D231" t="s">
        <v>398</v>
      </c>
      <c r="E231" t="s">
        <v>1388</v>
      </c>
      <c r="F231" t="s">
        <v>1389</v>
      </c>
      <c r="G231" t="s">
        <v>885</v>
      </c>
      <c r="H231" s="14" t="s">
        <v>399</v>
      </c>
      <c r="I231" s="14">
        <v>43584</v>
      </c>
      <c r="J231" s="27">
        <v>24</v>
      </c>
      <c r="K231" s="19">
        <f t="shared" si="3"/>
        <v>-35</v>
      </c>
      <c r="L231" s="4">
        <v>41683</v>
      </c>
      <c r="M231" s="4">
        <v>43584</v>
      </c>
      <c r="N231" s="27">
        <v>24</v>
      </c>
    </row>
    <row r="232" spans="1:14">
      <c r="A232" t="s">
        <v>817</v>
      </c>
      <c r="B232" t="s">
        <v>1505</v>
      </c>
      <c r="C232" s="29" t="s">
        <v>402</v>
      </c>
      <c r="D232" t="s">
        <v>403</v>
      </c>
      <c r="E232" t="s">
        <v>1390</v>
      </c>
      <c r="F232" t="s">
        <v>1391</v>
      </c>
      <c r="G232" t="s">
        <v>885</v>
      </c>
      <c r="H232" s="14" t="s">
        <v>133</v>
      </c>
      <c r="I232" s="23">
        <v>43496</v>
      </c>
      <c r="J232" s="27">
        <v>24</v>
      </c>
      <c r="K232" s="19">
        <f t="shared" si="3"/>
        <v>-40</v>
      </c>
      <c r="L232" s="4">
        <v>42727</v>
      </c>
      <c r="M232" s="4">
        <v>43496</v>
      </c>
      <c r="N232" s="27">
        <v>24</v>
      </c>
    </row>
    <row r="233" spans="1:14">
      <c r="A233" t="s">
        <v>829</v>
      </c>
      <c r="B233" t="s">
        <v>934</v>
      </c>
      <c r="C233" s="29" t="s">
        <v>739</v>
      </c>
      <c r="D233" t="s">
        <v>740</v>
      </c>
      <c r="E233" t="s">
        <v>1392</v>
      </c>
      <c r="F233" t="s">
        <v>1393</v>
      </c>
      <c r="G233" t="s">
        <v>897</v>
      </c>
      <c r="H233" s="14" t="s">
        <v>67</v>
      </c>
      <c r="I233" s="14">
        <v>43433</v>
      </c>
      <c r="J233" s="27">
        <v>24</v>
      </c>
      <c r="K233" s="17">
        <f t="shared" si="3"/>
        <v>-1096</v>
      </c>
      <c r="L233" s="4">
        <v>41609</v>
      </c>
      <c r="M233" s="4">
        <v>43433</v>
      </c>
      <c r="N233" s="27">
        <v>24</v>
      </c>
    </row>
    <row r="234" spans="1:14">
      <c r="A234" t="s">
        <v>906</v>
      </c>
      <c r="B234" t="s">
        <v>934</v>
      </c>
      <c r="C234" s="29" t="s">
        <v>671</v>
      </c>
      <c r="D234" t="s">
        <v>672</v>
      </c>
      <c r="E234" t="s">
        <v>1394</v>
      </c>
      <c r="F234" t="s">
        <v>1395</v>
      </c>
      <c r="G234" t="s">
        <v>915</v>
      </c>
      <c r="H234" s="14" t="s">
        <v>13</v>
      </c>
      <c r="I234" s="23">
        <v>43553</v>
      </c>
      <c r="J234" s="27">
        <v>24</v>
      </c>
      <c r="K234" s="17">
        <f t="shared" si="3"/>
        <v>30</v>
      </c>
      <c r="L234" s="4">
        <v>42856</v>
      </c>
      <c r="M234" s="4">
        <v>43585</v>
      </c>
      <c r="N234" s="27">
        <v>24</v>
      </c>
    </row>
    <row r="235" spans="1:14">
      <c r="A235" t="s">
        <v>770</v>
      </c>
      <c r="B235" t="s">
        <v>1505</v>
      </c>
      <c r="C235" s="29" t="s">
        <v>134</v>
      </c>
      <c r="D235" t="s">
        <v>135</v>
      </c>
      <c r="E235" t="s">
        <v>1396</v>
      </c>
      <c r="F235" t="s">
        <v>1397</v>
      </c>
      <c r="G235" t="s">
        <v>838</v>
      </c>
      <c r="H235" s="14" t="s">
        <v>136</v>
      </c>
      <c r="I235" s="23">
        <v>43434</v>
      </c>
      <c r="J235" s="27">
        <v>36</v>
      </c>
      <c r="K235" s="19">
        <f t="shared" si="3"/>
        <v>1583</v>
      </c>
      <c r="L235" s="4">
        <v>41852</v>
      </c>
      <c r="M235" s="4">
        <v>43434</v>
      </c>
      <c r="N235" s="27">
        <v>24</v>
      </c>
    </row>
    <row r="236" spans="1:14">
      <c r="A236" t="s">
        <v>770</v>
      </c>
      <c r="B236" t="s">
        <v>1505</v>
      </c>
      <c r="C236" s="29" t="s">
        <v>137</v>
      </c>
      <c r="D236" t="s">
        <v>138</v>
      </c>
      <c r="E236" t="s">
        <v>1398</v>
      </c>
      <c r="F236" t="s">
        <v>1399</v>
      </c>
      <c r="G236" t="s">
        <v>838</v>
      </c>
      <c r="H236" s="14" t="s">
        <v>139</v>
      </c>
      <c r="I236" s="23">
        <v>43554</v>
      </c>
      <c r="J236" s="27">
        <v>24</v>
      </c>
      <c r="K236" s="19">
        <f t="shared" si="3"/>
        <v>739</v>
      </c>
      <c r="L236" s="4">
        <v>41426</v>
      </c>
      <c r="M236" s="4">
        <v>43554</v>
      </c>
      <c r="N236" s="27">
        <v>24</v>
      </c>
    </row>
    <row r="237" spans="1:14">
      <c r="A237" t="s">
        <v>770</v>
      </c>
      <c r="B237" t="s">
        <v>934</v>
      </c>
      <c r="C237" s="29" t="s">
        <v>524</v>
      </c>
      <c r="D237" t="s">
        <v>525</v>
      </c>
      <c r="E237" t="s">
        <v>1400</v>
      </c>
      <c r="F237" t="s">
        <v>1401</v>
      </c>
      <c r="G237" t="s">
        <v>838</v>
      </c>
      <c r="H237" s="14" t="s">
        <v>281</v>
      </c>
      <c r="I237" s="23">
        <v>43219</v>
      </c>
      <c r="J237" s="27">
        <v>24</v>
      </c>
      <c r="K237" s="17">
        <f t="shared" si="3"/>
        <v>-1430</v>
      </c>
      <c r="L237" s="4">
        <v>41061</v>
      </c>
      <c r="M237" s="4">
        <v>43219</v>
      </c>
      <c r="N237" s="27">
        <v>24</v>
      </c>
    </row>
    <row r="238" spans="1:14">
      <c r="A238" t="s">
        <v>793</v>
      </c>
      <c r="B238" t="s">
        <v>934</v>
      </c>
      <c r="C238" s="29" t="s">
        <v>487</v>
      </c>
      <c r="D238" t="s">
        <v>488</v>
      </c>
      <c r="E238" t="s">
        <v>1402</v>
      </c>
      <c r="F238" t="s">
        <v>1403</v>
      </c>
      <c r="G238" t="s">
        <v>861</v>
      </c>
      <c r="H238" s="14" t="s">
        <v>489</v>
      </c>
      <c r="I238" s="14">
        <v>43251</v>
      </c>
      <c r="J238" s="27">
        <v>6</v>
      </c>
      <c r="K238" s="17">
        <f t="shared" si="3"/>
        <v>1856</v>
      </c>
      <c r="L238" s="4">
        <v>42339</v>
      </c>
      <c r="M238" s="4">
        <v>43069</v>
      </c>
      <c r="N238" s="27">
        <v>24</v>
      </c>
    </row>
    <row r="239" spans="1:14">
      <c r="A239" t="s">
        <v>814</v>
      </c>
      <c r="B239" t="s">
        <v>1505</v>
      </c>
      <c r="C239" s="29" t="s">
        <v>74</v>
      </c>
      <c r="D239" t="s">
        <v>75</v>
      </c>
      <c r="E239" t="s">
        <v>1404</v>
      </c>
      <c r="F239" t="s">
        <v>1405</v>
      </c>
      <c r="G239" t="s">
        <v>882</v>
      </c>
      <c r="H239" s="14" t="s">
        <v>76</v>
      </c>
      <c r="I239" s="14">
        <v>43159</v>
      </c>
      <c r="J239" s="27">
        <v>48</v>
      </c>
      <c r="K239" s="19">
        <f t="shared" si="3"/>
        <v>1916</v>
      </c>
      <c r="L239" s="4">
        <v>42064</v>
      </c>
      <c r="M239" s="4">
        <v>43159</v>
      </c>
      <c r="N239" s="27">
        <v>24</v>
      </c>
    </row>
    <row r="240" spans="1:14">
      <c r="A240" t="s">
        <v>814</v>
      </c>
      <c r="B240" t="s">
        <v>1505</v>
      </c>
      <c r="C240" s="29" t="s">
        <v>357</v>
      </c>
      <c r="D240" t="s">
        <v>358</v>
      </c>
      <c r="E240" t="s">
        <v>1406</v>
      </c>
      <c r="F240" t="s">
        <v>1407</v>
      </c>
      <c r="G240" t="s">
        <v>882</v>
      </c>
      <c r="H240" s="14" t="s">
        <v>359</v>
      </c>
      <c r="I240" s="14">
        <v>43434</v>
      </c>
      <c r="J240" s="27">
        <v>24</v>
      </c>
      <c r="K240" s="19">
        <f t="shared" si="3"/>
        <v>581</v>
      </c>
      <c r="L240" s="4">
        <v>40819</v>
      </c>
      <c r="M240" s="4">
        <v>43434</v>
      </c>
      <c r="N240" s="27">
        <v>24</v>
      </c>
    </row>
    <row r="241" spans="1:14">
      <c r="A241" t="s">
        <v>814</v>
      </c>
      <c r="B241" t="s">
        <v>1505</v>
      </c>
      <c r="C241" s="29" t="s">
        <v>360</v>
      </c>
      <c r="D241" t="s">
        <v>361</v>
      </c>
      <c r="E241" t="s">
        <v>1408</v>
      </c>
      <c r="F241" t="s">
        <v>1409</v>
      </c>
      <c r="G241" t="s">
        <v>882</v>
      </c>
      <c r="H241" s="14" t="s">
        <v>362</v>
      </c>
      <c r="I241" s="23">
        <v>43159</v>
      </c>
      <c r="J241" s="27">
        <v>24</v>
      </c>
      <c r="K241" s="19">
        <f t="shared" si="3"/>
        <v>1308</v>
      </c>
      <c r="L241" s="4">
        <v>42064</v>
      </c>
      <c r="M241" s="4">
        <v>43159</v>
      </c>
      <c r="N241" s="27">
        <v>24</v>
      </c>
    </row>
    <row r="242" spans="1:14">
      <c r="A242" t="s">
        <v>814</v>
      </c>
      <c r="B242" t="s">
        <v>1505</v>
      </c>
      <c r="C242" s="29" t="s">
        <v>363</v>
      </c>
      <c r="D242" t="s">
        <v>364</v>
      </c>
      <c r="E242" t="s">
        <v>1410</v>
      </c>
      <c r="F242" t="s">
        <v>1411</v>
      </c>
      <c r="G242" t="s">
        <v>882</v>
      </c>
      <c r="H242" s="14" t="s">
        <v>88</v>
      </c>
      <c r="I242" s="23">
        <v>43616</v>
      </c>
      <c r="J242" s="27">
        <v>24</v>
      </c>
      <c r="K242" s="19">
        <f t="shared" si="3"/>
        <v>641</v>
      </c>
      <c r="L242" s="4">
        <v>42036</v>
      </c>
      <c r="M242" s="4">
        <v>43251</v>
      </c>
      <c r="N242" s="27">
        <v>24</v>
      </c>
    </row>
    <row r="243" spans="1:14">
      <c r="A243" t="s">
        <v>814</v>
      </c>
      <c r="B243" t="s">
        <v>1505</v>
      </c>
      <c r="C243" s="29" t="s">
        <v>365</v>
      </c>
      <c r="D243" t="s">
        <v>366</v>
      </c>
      <c r="E243" t="s">
        <v>1412</v>
      </c>
      <c r="F243" t="s">
        <v>1413</v>
      </c>
      <c r="G243" t="s">
        <v>882</v>
      </c>
      <c r="H243" s="14" t="s">
        <v>367</v>
      </c>
      <c r="I243" s="23">
        <v>43616</v>
      </c>
      <c r="J243" s="27">
        <v>24</v>
      </c>
      <c r="K243" s="19">
        <f t="shared" si="3"/>
        <v>-648</v>
      </c>
      <c r="L243" s="4">
        <v>41609</v>
      </c>
      <c r="M243" s="4">
        <v>43616</v>
      </c>
      <c r="N243" s="27">
        <v>24</v>
      </c>
    </row>
    <row r="244" spans="1:14">
      <c r="A244" t="s">
        <v>814</v>
      </c>
      <c r="B244" t="s">
        <v>1505</v>
      </c>
      <c r="C244" s="29" t="s">
        <v>368</v>
      </c>
      <c r="D244" t="s">
        <v>369</v>
      </c>
      <c r="E244" t="s">
        <v>1414</v>
      </c>
      <c r="F244" t="s">
        <v>1415</v>
      </c>
      <c r="G244" t="s">
        <v>882</v>
      </c>
      <c r="H244" s="14" t="s">
        <v>10</v>
      </c>
      <c r="I244" s="23">
        <v>43646</v>
      </c>
      <c r="J244" s="27">
        <v>24</v>
      </c>
      <c r="K244" s="19">
        <f t="shared" si="3"/>
        <v>30</v>
      </c>
      <c r="L244" s="4">
        <v>42339</v>
      </c>
      <c r="M244" s="4">
        <v>43677</v>
      </c>
      <c r="N244" s="27">
        <v>24</v>
      </c>
    </row>
    <row r="245" spans="1:14">
      <c r="A245" t="s">
        <v>814</v>
      </c>
      <c r="B245" t="s">
        <v>1505</v>
      </c>
      <c r="C245" s="29" t="s">
        <v>370</v>
      </c>
      <c r="D245" t="s">
        <v>371</v>
      </c>
      <c r="E245" t="s">
        <v>1416</v>
      </c>
      <c r="F245" t="s">
        <v>1417</v>
      </c>
      <c r="G245" t="s">
        <v>882</v>
      </c>
      <c r="H245" s="14" t="s">
        <v>67</v>
      </c>
      <c r="I245" s="23">
        <v>43433</v>
      </c>
      <c r="J245" s="27">
        <v>24</v>
      </c>
      <c r="K245" s="19">
        <f t="shared" si="3"/>
        <v>-2239</v>
      </c>
      <c r="L245" s="4">
        <v>40466</v>
      </c>
      <c r="M245" s="4">
        <v>43433</v>
      </c>
      <c r="N245" s="27">
        <v>24</v>
      </c>
    </row>
    <row r="246" spans="1:14">
      <c r="A246" t="s">
        <v>814</v>
      </c>
      <c r="B246" t="s">
        <v>934</v>
      </c>
      <c r="C246" s="29" t="s">
        <v>675</v>
      </c>
      <c r="D246" t="s">
        <v>676</v>
      </c>
      <c r="E246" t="s">
        <v>1418</v>
      </c>
      <c r="F246" t="s">
        <v>1419</v>
      </c>
      <c r="G246" t="s">
        <v>882</v>
      </c>
      <c r="H246" s="14" t="s">
        <v>677</v>
      </c>
      <c r="I246" s="23">
        <v>43168</v>
      </c>
      <c r="J246" s="27">
        <v>24</v>
      </c>
      <c r="K246" s="17">
        <f t="shared" si="3"/>
        <v>-2663</v>
      </c>
      <c r="L246" s="4">
        <v>39776</v>
      </c>
      <c r="M246" s="4">
        <v>43159</v>
      </c>
      <c r="N246" s="27">
        <v>24</v>
      </c>
    </row>
    <row r="247" spans="1:14">
      <c r="A247" t="s">
        <v>814</v>
      </c>
      <c r="B247" t="s">
        <v>934</v>
      </c>
      <c r="C247" s="29" t="s">
        <v>497</v>
      </c>
      <c r="D247" t="s">
        <v>498</v>
      </c>
      <c r="E247" t="s">
        <v>1420</v>
      </c>
      <c r="F247" t="s">
        <v>1421</v>
      </c>
      <c r="G247" t="s">
        <v>882</v>
      </c>
      <c r="H247" s="14" t="s">
        <v>203</v>
      </c>
      <c r="I247" s="23">
        <v>43371</v>
      </c>
      <c r="J247" s="27">
        <v>17</v>
      </c>
      <c r="K247" s="17">
        <f t="shared" si="3"/>
        <v>-30</v>
      </c>
      <c r="L247" s="4">
        <v>42826</v>
      </c>
      <c r="M247" s="4">
        <v>43371</v>
      </c>
      <c r="N247" s="27">
        <v>18</v>
      </c>
    </row>
    <row r="248" spans="1:14">
      <c r="A248" t="s">
        <v>777</v>
      </c>
      <c r="B248" t="s">
        <v>1505</v>
      </c>
      <c r="C248" s="29" t="s">
        <v>192</v>
      </c>
      <c r="D248" t="s">
        <v>193</v>
      </c>
      <c r="E248" t="s">
        <v>1422</v>
      </c>
      <c r="F248" t="s">
        <v>1423</v>
      </c>
      <c r="G248" t="s">
        <v>845</v>
      </c>
      <c r="H248" s="14" t="s">
        <v>194</v>
      </c>
      <c r="I248" s="23">
        <v>43434</v>
      </c>
      <c r="J248" s="27">
        <v>24</v>
      </c>
      <c r="K248" s="19">
        <f t="shared" si="3"/>
        <v>785</v>
      </c>
      <c r="L248" s="4">
        <v>42705</v>
      </c>
      <c r="M248" s="4">
        <v>43434</v>
      </c>
      <c r="N248" s="27">
        <v>24</v>
      </c>
    </row>
    <row r="249" spans="1:14">
      <c r="A249" t="s">
        <v>777</v>
      </c>
      <c r="B249" t="s">
        <v>1505</v>
      </c>
      <c r="C249" s="29" t="s">
        <v>14</v>
      </c>
      <c r="D249" t="s">
        <v>15</v>
      </c>
      <c r="E249" t="s">
        <v>1424</v>
      </c>
      <c r="F249" t="s">
        <v>1425</v>
      </c>
      <c r="G249" t="s">
        <v>845</v>
      </c>
      <c r="H249" s="14" t="s">
        <v>16</v>
      </c>
      <c r="I249" s="23">
        <v>43100</v>
      </c>
      <c r="J249" s="27">
        <v>24</v>
      </c>
      <c r="K249" s="19">
        <f t="shared" si="3"/>
        <v>731</v>
      </c>
      <c r="L249" s="4">
        <v>42736</v>
      </c>
      <c r="M249" s="4">
        <v>43830</v>
      </c>
      <c r="N249" s="27">
        <v>36</v>
      </c>
    </row>
    <row r="250" spans="1:14">
      <c r="A250" t="s">
        <v>777</v>
      </c>
      <c r="B250" t="s">
        <v>1505</v>
      </c>
      <c r="C250" s="29" t="s">
        <v>195</v>
      </c>
      <c r="D250" t="s">
        <v>196</v>
      </c>
      <c r="E250" t="s">
        <v>1426</v>
      </c>
      <c r="F250" t="s">
        <v>1427</v>
      </c>
      <c r="G250" t="s">
        <v>845</v>
      </c>
      <c r="H250" s="14" t="s">
        <v>197</v>
      </c>
      <c r="I250" s="23">
        <v>43584</v>
      </c>
      <c r="J250" s="27">
        <v>24</v>
      </c>
      <c r="K250" s="19">
        <f t="shared" si="3"/>
        <v>731</v>
      </c>
      <c r="L250" s="4">
        <v>42856</v>
      </c>
      <c r="M250" s="4">
        <v>43584</v>
      </c>
      <c r="N250" s="27">
        <v>24</v>
      </c>
    </row>
    <row r="251" spans="1:14">
      <c r="A251" t="s">
        <v>777</v>
      </c>
      <c r="B251" t="s">
        <v>1505</v>
      </c>
      <c r="C251" s="29" t="s">
        <v>17</v>
      </c>
      <c r="D251" t="s">
        <v>18</v>
      </c>
      <c r="E251" t="s">
        <v>1428</v>
      </c>
      <c r="F251" t="s">
        <v>1429</v>
      </c>
      <c r="G251" t="s">
        <v>845</v>
      </c>
      <c r="H251" s="14" t="s">
        <v>19</v>
      </c>
      <c r="I251" s="23">
        <v>43677</v>
      </c>
      <c r="J251" s="27">
        <v>24</v>
      </c>
      <c r="K251" s="19">
        <f t="shared" si="3"/>
        <v>578</v>
      </c>
      <c r="L251" s="4">
        <v>42795</v>
      </c>
      <c r="M251" s="4">
        <v>43646</v>
      </c>
      <c r="N251" s="27">
        <v>28</v>
      </c>
    </row>
    <row r="252" spans="1:14">
      <c r="A252" t="s">
        <v>777</v>
      </c>
      <c r="B252" t="s">
        <v>934</v>
      </c>
      <c r="C252" s="29" t="s">
        <v>542</v>
      </c>
      <c r="D252" t="s">
        <v>543</v>
      </c>
      <c r="E252" t="s">
        <v>1430</v>
      </c>
      <c r="F252" t="s">
        <v>1431</v>
      </c>
      <c r="G252" t="s">
        <v>845</v>
      </c>
      <c r="H252" s="14" t="s">
        <v>19</v>
      </c>
      <c r="I252" s="23">
        <v>43312</v>
      </c>
      <c r="J252" s="27">
        <v>24</v>
      </c>
      <c r="K252" s="17">
        <f t="shared" si="3"/>
        <v>792</v>
      </c>
      <c r="L252" s="4">
        <v>43009</v>
      </c>
      <c r="M252" s="4">
        <v>43738</v>
      </c>
      <c r="N252" s="27">
        <v>24</v>
      </c>
    </row>
    <row r="253" spans="1:14">
      <c r="A253" t="s">
        <v>777</v>
      </c>
      <c r="B253" t="s">
        <v>934</v>
      </c>
      <c r="C253" s="29" t="s">
        <v>544</v>
      </c>
      <c r="D253" t="s">
        <v>545</v>
      </c>
      <c r="E253" t="s">
        <v>1432</v>
      </c>
      <c r="F253" t="s">
        <v>1433</v>
      </c>
      <c r="G253" t="s">
        <v>845</v>
      </c>
      <c r="H253" s="14" t="s">
        <v>546</v>
      </c>
      <c r="I253" s="23">
        <v>43090</v>
      </c>
      <c r="J253" s="27">
        <v>24</v>
      </c>
      <c r="K253" s="17">
        <f t="shared" si="3"/>
        <v>649</v>
      </c>
      <c r="L253" s="4">
        <v>43009</v>
      </c>
      <c r="M253" s="4">
        <v>43738</v>
      </c>
      <c r="N253" s="27">
        <v>24</v>
      </c>
    </row>
    <row r="254" spans="1:14">
      <c r="A254" t="s">
        <v>785</v>
      </c>
      <c r="B254" t="s">
        <v>1505</v>
      </c>
      <c r="C254" s="29" t="s">
        <v>246</v>
      </c>
      <c r="D254" t="s">
        <v>247</v>
      </c>
      <c r="E254" t="s">
        <v>1434</v>
      </c>
      <c r="F254" t="s">
        <v>1435</v>
      </c>
      <c r="G254" t="s">
        <v>853</v>
      </c>
      <c r="H254" s="14" t="s">
        <v>248</v>
      </c>
      <c r="I254" s="23">
        <v>43100</v>
      </c>
      <c r="J254" s="27">
        <v>12</v>
      </c>
      <c r="K254" s="19">
        <f t="shared" si="3"/>
        <v>1003</v>
      </c>
      <c r="L254" s="4">
        <v>41820</v>
      </c>
      <c r="M254" s="4">
        <v>43100</v>
      </c>
      <c r="N254" s="27">
        <v>12</v>
      </c>
    </row>
    <row r="255" spans="1:14">
      <c r="A255" t="s">
        <v>785</v>
      </c>
      <c r="B255" t="s">
        <v>1505</v>
      </c>
      <c r="C255" s="29" t="s">
        <v>249</v>
      </c>
      <c r="D255" t="s">
        <v>250</v>
      </c>
      <c r="E255" t="s">
        <v>1436</v>
      </c>
      <c r="F255" t="s">
        <v>1437</v>
      </c>
      <c r="G255" t="s">
        <v>853</v>
      </c>
      <c r="H255" s="14" t="s">
        <v>251</v>
      </c>
      <c r="I255" s="23">
        <v>43131</v>
      </c>
      <c r="J255" s="27">
        <v>12</v>
      </c>
      <c r="K255" s="19">
        <f t="shared" si="3"/>
        <v>5</v>
      </c>
      <c r="L255" s="4">
        <v>42401</v>
      </c>
      <c r="M255" s="4">
        <v>43131</v>
      </c>
      <c r="N255" s="27">
        <v>12</v>
      </c>
    </row>
    <row r="256" spans="1:14">
      <c r="A256" t="s">
        <v>826</v>
      </c>
      <c r="B256" t="s">
        <v>1505</v>
      </c>
      <c r="C256" s="29" t="s">
        <v>106</v>
      </c>
      <c r="D256" t="s">
        <v>107</v>
      </c>
      <c r="E256" t="s">
        <v>1438</v>
      </c>
      <c r="F256" t="s">
        <v>1439</v>
      </c>
      <c r="G256" t="s">
        <v>894</v>
      </c>
      <c r="H256" s="14" t="s">
        <v>108</v>
      </c>
      <c r="I256" s="23">
        <v>43343</v>
      </c>
      <c r="J256" s="27">
        <v>36</v>
      </c>
      <c r="K256" s="19">
        <f t="shared" si="3"/>
        <v>-2303</v>
      </c>
      <c r="L256" s="4">
        <v>38808</v>
      </c>
      <c r="M256" s="4">
        <v>43343</v>
      </c>
      <c r="N256" s="27">
        <v>24</v>
      </c>
    </row>
    <row r="257" spans="1:14">
      <c r="A257" t="s">
        <v>826</v>
      </c>
      <c r="B257" t="s">
        <v>1505</v>
      </c>
      <c r="C257" s="29" t="s">
        <v>104</v>
      </c>
      <c r="D257" t="s">
        <v>105</v>
      </c>
      <c r="E257" t="s">
        <v>1440</v>
      </c>
      <c r="F257" t="s">
        <v>1441</v>
      </c>
      <c r="G257" t="s">
        <v>894</v>
      </c>
      <c r="H257" s="14" t="s">
        <v>58</v>
      </c>
      <c r="I257" s="14">
        <v>43131</v>
      </c>
      <c r="J257" s="27">
        <v>36</v>
      </c>
      <c r="K257" s="19">
        <f t="shared" si="3"/>
        <v>1673</v>
      </c>
      <c r="L257" s="4">
        <v>42979</v>
      </c>
      <c r="M257" s="4">
        <v>43769</v>
      </c>
      <c r="N257" s="27">
        <v>26</v>
      </c>
    </row>
    <row r="258" spans="1:14">
      <c r="A258" t="s">
        <v>826</v>
      </c>
      <c r="B258" t="s">
        <v>1505</v>
      </c>
      <c r="C258" s="29" t="s">
        <v>450</v>
      </c>
      <c r="D258" t="s">
        <v>451</v>
      </c>
      <c r="E258" t="s">
        <v>1442</v>
      </c>
      <c r="F258" t="s">
        <v>1443</v>
      </c>
      <c r="G258" t="s">
        <v>894</v>
      </c>
      <c r="H258" s="14" t="s">
        <v>452</v>
      </c>
      <c r="I258" s="23">
        <v>43600</v>
      </c>
      <c r="J258" s="27">
        <v>30</v>
      </c>
      <c r="K258" s="19">
        <f t="shared" si="3"/>
        <v>15</v>
      </c>
      <c r="L258" s="4">
        <v>42705</v>
      </c>
      <c r="M258" s="4">
        <v>43600</v>
      </c>
      <c r="N258" s="27">
        <v>30</v>
      </c>
    </row>
    <row r="259" spans="1:14">
      <c r="A259" t="s">
        <v>826</v>
      </c>
      <c r="B259" t="s">
        <v>1505</v>
      </c>
      <c r="C259" s="29" t="s">
        <v>447</v>
      </c>
      <c r="D259" t="s">
        <v>448</v>
      </c>
      <c r="E259" t="s">
        <v>1444</v>
      </c>
      <c r="F259" t="s">
        <v>1445</v>
      </c>
      <c r="G259" t="s">
        <v>894</v>
      </c>
      <c r="H259" s="14" t="s">
        <v>449</v>
      </c>
      <c r="I259" s="14">
        <v>43644</v>
      </c>
      <c r="J259" s="27">
        <v>24</v>
      </c>
      <c r="K259" s="19">
        <f t="shared" ref="K259:K288" si="4">_xlfn.DAYS(L259,H259)</f>
        <v>2</v>
      </c>
      <c r="L259" s="4">
        <v>42917</v>
      </c>
      <c r="M259" s="4">
        <v>43644</v>
      </c>
      <c r="N259" s="27">
        <v>24</v>
      </c>
    </row>
    <row r="260" spans="1:14">
      <c r="A260" t="s">
        <v>826</v>
      </c>
      <c r="B260" t="s">
        <v>934</v>
      </c>
      <c r="C260" s="29" t="s">
        <v>505</v>
      </c>
      <c r="D260" t="s">
        <v>506</v>
      </c>
      <c r="E260" t="s">
        <v>1446</v>
      </c>
      <c r="F260" t="s">
        <v>1447</v>
      </c>
      <c r="G260" t="s">
        <v>894</v>
      </c>
      <c r="H260" s="14" t="s">
        <v>507</v>
      </c>
      <c r="I260" s="14">
        <v>43837</v>
      </c>
      <c r="J260" s="27">
        <v>24</v>
      </c>
      <c r="K260" s="17">
        <f t="shared" si="4"/>
        <v>21</v>
      </c>
      <c r="L260" s="4">
        <v>42339</v>
      </c>
      <c r="M260" s="6">
        <v>43837</v>
      </c>
      <c r="N260" s="27">
        <v>25</v>
      </c>
    </row>
    <row r="261" spans="1:14">
      <c r="A261" t="s">
        <v>779</v>
      </c>
      <c r="B261" t="s">
        <v>934</v>
      </c>
      <c r="C261" s="29" t="s">
        <v>548</v>
      </c>
      <c r="D261" t="s">
        <v>549</v>
      </c>
      <c r="E261" t="s">
        <v>1448</v>
      </c>
      <c r="F261" t="s">
        <v>1449</v>
      </c>
      <c r="G261" t="s">
        <v>847</v>
      </c>
      <c r="H261" s="14" t="s">
        <v>550</v>
      </c>
      <c r="I261" s="23">
        <v>43463</v>
      </c>
      <c r="J261" s="27">
        <v>24</v>
      </c>
      <c r="K261" s="17">
        <f t="shared" si="4"/>
        <v>348</v>
      </c>
      <c r="L261" s="4">
        <v>43083</v>
      </c>
      <c r="M261" s="4">
        <v>43812</v>
      </c>
      <c r="N261" s="27">
        <v>24</v>
      </c>
    </row>
    <row r="262" spans="1:14">
      <c r="A262" t="s">
        <v>779</v>
      </c>
      <c r="B262" t="s">
        <v>934</v>
      </c>
      <c r="C262" s="29" t="s">
        <v>551</v>
      </c>
      <c r="D262" t="s">
        <v>552</v>
      </c>
      <c r="E262" t="s">
        <v>1450</v>
      </c>
      <c r="F262" t="s">
        <v>1451</v>
      </c>
      <c r="G262" t="s">
        <v>847</v>
      </c>
      <c r="H262" s="14" t="s">
        <v>550</v>
      </c>
      <c r="I262" s="23">
        <v>43098</v>
      </c>
      <c r="J262" s="27">
        <v>12</v>
      </c>
      <c r="K262" s="17">
        <f t="shared" si="4"/>
        <v>354</v>
      </c>
      <c r="L262" s="4">
        <v>43089</v>
      </c>
      <c r="M262" s="4">
        <v>43453</v>
      </c>
      <c r="N262" s="27">
        <v>12</v>
      </c>
    </row>
    <row r="263" spans="1:14">
      <c r="A263" t="s">
        <v>799</v>
      </c>
      <c r="B263" t="s">
        <v>1505</v>
      </c>
      <c r="C263" s="29" t="s">
        <v>282</v>
      </c>
      <c r="D263" t="s">
        <v>283</v>
      </c>
      <c r="E263" t="s">
        <v>1452</v>
      </c>
      <c r="F263" t="s">
        <v>1453</v>
      </c>
      <c r="G263" t="s">
        <v>867</v>
      </c>
      <c r="H263" s="14" t="s">
        <v>284</v>
      </c>
      <c r="I263" s="23">
        <v>43343</v>
      </c>
      <c r="J263" s="27">
        <v>24</v>
      </c>
      <c r="K263" s="19">
        <f t="shared" si="4"/>
        <v>700</v>
      </c>
      <c r="L263" s="4">
        <v>42583</v>
      </c>
      <c r="M263" s="4">
        <v>43343</v>
      </c>
      <c r="N263" s="27">
        <v>24</v>
      </c>
    </row>
    <row r="264" spans="1:14">
      <c r="A264" t="s">
        <v>795</v>
      </c>
      <c r="B264" t="s">
        <v>1505</v>
      </c>
      <c r="C264" s="29" t="s">
        <v>41</v>
      </c>
      <c r="D264" t="s">
        <v>42</v>
      </c>
      <c r="E264" t="s">
        <v>1454</v>
      </c>
      <c r="F264" t="s">
        <v>1455</v>
      </c>
      <c r="G264" t="s">
        <v>863</v>
      </c>
      <c r="H264" s="14" t="s">
        <v>43</v>
      </c>
      <c r="I264" s="23">
        <v>43440</v>
      </c>
      <c r="J264" s="27">
        <v>24</v>
      </c>
      <c r="K264" s="19">
        <f t="shared" si="4"/>
        <v>-914</v>
      </c>
      <c r="L264" s="4">
        <v>39605</v>
      </c>
      <c r="M264" s="4">
        <v>41821</v>
      </c>
      <c r="N264" s="27">
        <v>12</v>
      </c>
    </row>
    <row r="265" spans="1:14">
      <c r="A265" t="s">
        <v>795</v>
      </c>
      <c r="B265" t="s">
        <v>1505</v>
      </c>
      <c r="C265" s="29" t="s">
        <v>273</v>
      </c>
      <c r="D265" t="s">
        <v>274</v>
      </c>
      <c r="E265" t="s">
        <v>1456</v>
      </c>
      <c r="F265" t="s">
        <v>1457</v>
      </c>
      <c r="G265" t="s">
        <v>863</v>
      </c>
      <c r="H265" s="14" t="s">
        <v>248</v>
      </c>
      <c r="I265" s="23">
        <v>43313</v>
      </c>
      <c r="J265" s="27">
        <v>24</v>
      </c>
      <c r="K265" s="19">
        <f t="shared" si="4"/>
        <v>-944</v>
      </c>
      <c r="L265" s="4">
        <v>39873</v>
      </c>
      <c r="M265" s="4">
        <v>43677</v>
      </c>
      <c r="N265" s="27">
        <v>24</v>
      </c>
    </row>
    <row r="266" spans="1:14">
      <c r="A266" t="s">
        <v>795</v>
      </c>
      <c r="B266" t="s">
        <v>1505</v>
      </c>
      <c r="C266" s="29" t="s">
        <v>275</v>
      </c>
      <c r="D266" t="s">
        <v>276</v>
      </c>
      <c r="E266" t="s">
        <v>1458</v>
      </c>
      <c r="F266" t="s">
        <v>1459</v>
      </c>
      <c r="G266" t="s">
        <v>863</v>
      </c>
      <c r="H266" s="14" t="s">
        <v>85</v>
      </c>
      <c r="I266" s="23">
        <v>43311</v>
      </c>
      <c r="J266" s="27">
        <v>24</v>
      </c>
      <c r="K266" s="19">
        <f t="shared" si="4"/>
        <v>-913</v>
      </c>
      <c r="L266" s="4">
        <v>40087</v>
      </c>
      <c r="M266" s="4">
        <v>43281</v>
      </c>
      <c r="N266" s="27">
        <v>24</v>
      </c>
    </row>
    <row r="267" spans="1:14">
      <c r="A267" t="s">
        <v>795</v>
      </c>
      <c r="B267" t="s">
        <v>934</v>
      </c>
      <c r="C267" s="29" t="s">
        <v>605</v>
      </c>
      <c r="D267" t="s">
        <v>606</v>
      </c>
      <c r="E267" t="s">
        <v>1460</v>
      </c>
      <c r="F267" t="s">
        <v>1461</v>
      </c>
      <c r="G267" t="s">
        <v>863</v>
      </c>
      <c r="H267" s="14" t="s">
        <v>607</v>
      </c>
      <c r="I267" s="23">
        <v>43429</v>
      </c>
      <c r="J267" s="27">
        <v>24</v>
      </c>
      <c r="K267" s="17">
        <f t="shared" si="4"/>
        <v>-31</v>
      </c>
      <c r="L267" s="4">
        <v>42305</v>
      </c>
      <c r="M267" s="4">
        <v>43035</v>
      </c>
      <c r="N267" s="27">
        <v>24</v>
      </c>
    </row>
    <row r="268" spans="1:14">
      <c r="A268" t="s">
        <v>781</v>
      </c>
      <c r="B268" t="s">
        <v>1505</v>
      </c>
      <c r="C268" s="29" t="s">
        <v>204</v>
      </c>
      <c r="D268" t="s">
        <v>205</v>
      </c>
      <c r="E268" t="s">
        <v>1462</v>
      </c>
      <c r="F268" t="s">
        <v>1463</v>
      </c>
      <c r="G268" t="s">
        <v>849</v>
      </c>
      <c r="H268" s="14" t="s">
        <v>206</v>
      </c>
      <c r="I268" s="23">
        <v>43524</v>
      </c>
      <c r="J268" s="27">
        <v>24</v>
      </c>
      <c r="K268" s="19">
        <f t="shared" si="4"/>
        <v>1803</v>
      </c>
      <c r="L268" s="4">
        <v>42795</v>
      </c>
      <c r="M268" s="4">
        <v>43524</v>
      </c>
      <c r="N268" s="27">
        <v>24</v>
      </c>
    </row>
    <row r="269" spans="1:14">
      <c r="A269" t="s">
        <v>781</v>
      </c>
      <c r="B269" t="s">
        <v>1505</v>
      </c>
      <c r="C269" s="29" t="s">
        <v>207</v>
      </c>
      <c r="D269" t="s">
        <v>208</v>
      </c>
      <c r="E269" t="s">
        <v>1464</v>
      </c>
      <c r="F269" t="s">
        <v>1465</v>
      </c>
      <c r="G269" t="s">
        <v>849</v>
      </c>
      <c r="H269" s="14" t="s">
        <v>209</v>
      </c>
      <c r="I269" s="23">
        <v>43698</v>
      </c>
      <c r="J269" s="27">
        <v>36</v>
      </c>
      <c r="K269" s="19">
        <f t="shared" si="4"/>
        <v>10</v>
      </c>
      <c r="L269" s="4">
        <v>42614</v>
      </c>
      <c r="M269" s="4">
        <v>43698</v>
      </c>
      <c r="N269" s="27">
        <v>36</v>
      </c>
    </row>
    <row r="270" spans="1:14">
      <c r="A270" t="s">
        <v>781</v>
      </c>
      <c r="B270" t="s">
        <v>934</v>
      </c>
      <c r="C270" s="29" t="s">
        <v>555</v>
      </c>
      <c r="D270" t="s">
        <v>556</v>
      </c>
      <c r="E270" t="s">
        <v>1466</v>
      </c>
      <c r="F270" t="s">
        <v>1467</v>
      </c>
      <c r="G270" t="s">
        <v>849</v>
      </c>
      <c r="H270" s="14" t="s">
        <v>462</v>
      </c>
      <c r="I270" s="23">
        <v>43100</v>
      </c>
      <c r="J270" s="27">
        <v>24</v>
      </c>
      <c r="K270" s="17">
        <f t="shared" si="4"/>
        <v>31</v>
      </c>
      <c r="L270" s="4">
        <v>42401</v>
      </c>
      <c r="M270" s="4">
        <v>43131</v>
      </c>
      <c r="N270" s="27">
        <v>24</v>
      </c>
    </row>
    <row r="271" spans="1:14">
      <c r="A271" t="s">
        <v>781</v>
      </c>
      <c r="B271" t="s">
        <v>934</v>
      </c>
      <c r="C271" s="29" t="s">
        <v>557</v>
      </c>
      <c r="D271" t="s">
        <v>558</v>
      </c>
      <c r="E271" t="s">
        <v>1468</v>
      </c>
      <c r="F271" t="s">
        <v>1469</v>
      </c>
      <c r="G271" t="s">
        <v>849</v>
      </c>
      <c r="H271" s="14" t="s">
        <v>266</v>
      </c>
      <c r="I271" s="23">
        <v>43251</v>
      </c>
      <c r="J271" s="27">
        <v>24</v>
      </c>
      <c r="K271" s="17">
        <f t="shared" si="4"/>
        <v>-61</v>
      </c>
      <c r="L271" s="4">
        <v>42461</v>
      </c>
      <c r="M271" s="4">
        <v>43190</v>
      </c>
      <c r="N271" s="27">
        <v>24</v>
      </c>
    </row>
    <row r="272" spans="1:14">
      <c r="A272" t="s">
        <v>809</v>
      </c>
      <c r="B272" t="s">
        <v>1505</v>
      </c>
      <c r="C272" s="29" t="s">
        <v>336</v>
      </c>
      <c r="D272" t="s">
        <v>337</v>
      </c>
      <c r="E272" t="s">
        <v>1470</v>
      </c>
      <c r="F272" t="s">
        <v>1471</v>
      </c>
      <c r="G272" t="s">
        <v>877</v>
      </c>
      <c r="H272" s="14" t="s">
        <v>338</v>
      </c>
      <c r="I272" s="23">
        <v>43661</v>
      </c>
      <c r="J272" s="27">
        <v>24</v>
      </c>
      <c r="K272" s="19">
        <f t="shared" si="4"/>
        <v>730</v>
      </c>
      <c r="L272" s="4">
        <v>42932</v>
      </c>
      <c r="M272" s="4">
        <v>43708</v>
      </c>
      <c r="N272" s="27">
        <v>24</v>
      </c>
    </row>
    <row r="273" spans="1:14">
      <c r="A273" t="s">
        <v>809</v>
      </c>
      <c r="B273" t="s">
        <v>1505</v>
      </c>
      <c r="C273" s="29" t="s">
        <v>339</v>
      </c>
      <c r="D273" t="s">
        <v>340</v>
      </c>
      <c r="E273" t="s">
        <v>1472</v>
      </c>
      <c r="F273" t="s">
        <v>1473</v>
      </c>
      <c r="G273" t="s">
        <v>877</v>
      </c>
      <c r="H273" s="14" t="s">
        <v>341</v>
      </c>
      <c r="I273" s="23">
        <v>43709</v>
      </c>
      <c r="J273" s="27">
        <v>24</v>
      </c>
      <c r="K273" s="19">
        <f t="shared" si="4"/>
        <v>412</v>
      </c>
      <c r="L273" s="4">
        <v>42948</v>
      </c>
      <c r="M273" s="4">
        <v>43709</v>
      </c>
      <c r="N273" s="27">
        <v>24</v>
      </c>
    </row>
    <row r="274" spans="1:14">
      <c r="A274" t="s">
        <v>809</v>
      </c>
      <c r="B274" t="s">
        <v>934</v>
      </c>
      <c r="C274" s="29" t="s">
        <v>657</v>
      </c>
      <c r="D274" t="s">
        <v>658</v>
      </c>
      <c r="E274" t="s">
        <v>1474</v>
      </c>
      <c r="F274" t="s">
        <v>1475</v>
      </c>
      <c r="G274" t="s">
        <v>877</v>
      </c>
      <c r="H274" s="14" t="s">
        <v>287</v>
      </c>
      <c r="I274" s="23">
        <v>43616</v>
      </c>
      <c r="J274" s="27">
        <v>24</v>
      </c>
      <c r="K274" s="17">
        <f t="shared" si="4"/>
        <v>30</v>
      </c>
      <c r="L274" s="4">
        <v>42917</v>
      </c>
      <c r="M274" s="4">
        <v>43616</v>
      </c>
      <c r="N274" s="27">
        <v>24</v>
      </c>
    </row>
    <row r="275" spans="1:14">
      <c r="A275" t="s">
        <v>809</v>
      </c>
      <c r="B275" t="s">
        <v>934</v>
      </c>
      <c r="C275" s="29" t="s">
        <v>659</v>
      </c>
      <c r="D275" t="s">
        <v>660</v>
      </c>
      <c r="E275" t="s">
        <v>1476</v>
      </c>
      <c r="F275" t="s">
        <v>1477</v>
      </c>
      <c r="G275" t="s">
        <v>877</v>
      </c>
      <c r="H275" s="14" t="s">
        <v>521</v>
      </c>
      <c r="I275" s="23">
        <v>43646</v>
      </c>
      <c r="J275" s="27">
        <v>24</v>
      </c>
      <c r="K275" s="17">
        <f t="shared" si="4"/>
        <v>31</v>
      </c>
      <c r="L275" s="4">
        <v>42948</v>
      </c>
      <c r="M275" s="4">
        <v>43646</v>
      </c>
      <c r="N275" s="27">
        <v>24</v>
      </c>
    </row>
    <row r="276" spans="1:14">
      <c r="A276" t="s">
        <v>825</v>
      </c>
      <c r="B276" t="s">
        <v>1505</v>
      </c>
      <c r="C276" s="29" t="s">
        <v>98</v>
      </c>
      <c r="D276" t="s">
        <v>99</v>
      </c>
      <c r="E276" t="s">
        <v>1478</v>
      </c>
      <c r="F276" t="s">
        <v>1479</v>
      </c>
      <c r="G276" t="s">
        <v>893</v>
      </c>
      <c r="H276" s="14" t="s">
        <v>100</v>
      </c>
      <c r="I276" s="14">
        <v>43100</v>
      </c>
      <c r="J276" s="27">
        <v>24</v>
      </c>
      <c r="K276" s="19">
        <f t="shared" si="4"/>
        <v>15</v>
      </c>
      <c r="L276" s="4">
        <v>40148</v>
      </c>
      <c r="M276" s="4">
        <v>43100</v>
      </c>
      <c r="N276" s="27">
        <v>12</v>
      </c>
    </row>
    <row r="277" spans="1:14">
      <c r="A277" t="s">
        <v>825</v>
      </c>
      <c r="B277" t="s">
        <v>1505</v>
      </c>
      <c r="C277" s="29" t="s">
        <v>439</v>
      </c>
      <c r="D277" t="s">
        <v>440</v>
      </c>
      <c r="E277" t="s">
        <v>1480</v>
      </c>
      <c r="F277" t="s">
        <v>1481</v>
      </c>
      <c r="G277" t="s">
        <v>893</v>
      </c>
      <c r="H277" s="14" t="s">
        <v>441</v>
      </c>
      <c r="I277" s="14">
        <v>43528</v>
      </c>
      <c r="J277" s="27">
        <v>24</v>
      </c>
      <c r="K277" s="19">
        <f t="shared" si="4"/>
        <v>2314</v>
      </c>
      <c r="L277" s="4">
        <v>42614</v>
      </c>
      <c r="M277" s="4">
        <v>43343</v>
      </c>
      <c r="N277" s="27">
        <v>24</v>
      </c>
    </row>
    <row r="278" spans="1:14">
      <c r="A278" t="s">
        <v>825</v>
      </c>
      <c r="B278" t="s">
        <v>1505</v>
      </c>
      <c r="C278" s="29" t="s">
        <v>101</v>
      </c>
      <c r="D278" t="s">
        <v>102</v>
      </c>
      <c r="E278" t="s">
        <v>1482</v>
      </c>
      <c r="F278" t="s">
        <v>1483</v>
      </c>
      <c r="G278" t="s">
        <v>893</v>
      </c>
      <c r="H278" s="14" t="s">
        <v>103</v>
      </c>
      <c r="I278" s="14">
        <v>43131</v>
      </c>
      <c r="J278" s="27">
        <v>36</v>
      </c>
      <c r="K278" s="19">
        <f t="shared" si="4"/>
        <v>27</v>
      </c>
      <c r="L278" s="4">
        <v>40848</v>
      </c>
      <c r="M278" s="4">
        <v>43131</v>
      </c>
      <c r="N278" s="27">
        <v>24</v>
      </c>
    </row>
    <row r="279" spans="1:14">
      <c r="A279" t="s">
        <v>825</v>
      </c>
      <c r="B279" t="s">
        <v>1505</v>
      </c>
      <c r="C279" s="29" t="s">
        <v>442</v>
      </c>
      <c r="D279" t="s">
        <v>443</v>
      </c>
      <c r="E279" t="s">
        <v>1484</v>
      </c>
      <c r="F279" t="s">
        <v>1485</v>
      </c>
      <c r="G279" t="s">
        <v>893</v>
      </c>
      <c r="H279" s="14" t="s">
        <v>444</v>
      </c>
      <c r="I279" s="14">
        <v>43159</v>
      </c>
      <c r="J279" s="27">
        <v>24</v>
      </c>
      <c r="K279" s="19">
        <f t="shared" si="4"/>
        <v>5</v>
      </c>
      <c r="L279" s="4">
        <v>40969</v>
      </c>
      <c r="M279" s="4">
        <v>43708</v>
      </c>
      <c r="N279" s="27">
        <v>24</v>
      </c>
    </row>
    <row r="280" spans="1:14">
      <c r="A280" t="s">
        <v>825</v>
      </c>
      <c r="B280" t="s">
        <v>1505</v>
      </c>
      <c r="C280" s="29" t="s">
        <v>445</v>
      </c>
      <c r="D280" t="s">
        <v>446</v>
      </c>
      <c r="E280" t="s">
        <v>1486</v>
      </c>
      <c r="F280" t="s">
        <v>1487</v>
      </c>
      <c r="G280" t="s">
        <v>893</v>
      </c>
      <c r="H280" s="14" t="s">
        <v>16</v>
      </c>
      <c r="I280" s="14">
        <v>43496</v>
      </c>
      <c r="J280" s="27">
        <v>24</v>
      </c>
      <c r="K280" s="19">
        <f t="shared" si="4"/>
        <v>-730</v>
      </c>
      <c r="L280" s="4">
        <v>41275</v>
      </c>
      <c r="M280" s="4">
        <v>43465</v>
      </c>
      <c r="N280" s="27">
        <v>24</v>
      </c>
    </row>
    <row r="281" spans="1:14">
      <c r="A281" t="s">
        <v>825</v>
      </c>
      <c r="B281" t="s">
        <v>934</v>
      </c>
      <c r="C281" s="29" t="s">
        <v>502</v>
      </c>
      <c r="D281" t="s">
        <v>503</v>
      </c>
      <c r="E281" t="s">
        <v>1488</v>
      </c>
      <c r="F281" t="s">
        <v>1489</v>
      </c>
      <c r="G281" t="s">
        <v>893</v>
      </c>
      <c r="H281" s="14" t="s">
        <v>504</v>
      </c>
      <c r="I281" s="23">
        <v>43288</v>
      </c>
      <c r="J281" s="27">
        <v>24</v>
      </c>
      <c r="K281" s="17">
        <f t="shared" si="4"/>
        <v>-68</v>
      </c>
      <c r="L281" s="4">
        <v>41760</v>
      </c>
      <c r="M281" s="4">
        <v>43220</v>
      </c>
      <c r="N281" s="27">
        <v>12</v>
      </c>
    </row>
    <row r="282" spans="1:14">
      <c r="A282" t="s">
        <v>825</v>
      </c>
      <c r="B282" t="s">
        <v>934</v>
      </c>
      <c r="C282" s="29" t="s">
        <v>730</v>
      </c>
      <c r="D282" t="s">
        <v>731</v>
      </c>
      <c r="E282" t="s">
        <v>1490</v>
      </c>
      <c r="F282" t="s">
        <v>1491</v>
      </c>
      <c r="G282" t="s">
        <v>893</v>
      </c>
      <c r="H282" s="14" t="s">
        <v>732</v>
      </c>
      <c r="I282" s="23">
        <v>43119</v>
      </c>
      <c r="J282" s="27">
        <v>24</v>
      </c>
      <c r="K282" s="17">
        <f t="shared" si="4"/>
        <v>12</v>
      </c>
      <c r="L282" s="4">
        <v>41671</v>
      </c>
      <c r="M282" s="4">
        <v>42754</v>
      </c>
      <c r="N282" s="27">
        <v>24</v>
      </c>
    </row>
    <row r="283" spans="1:14">
      <c r="A283" t="s">
        <v>825</v>
      </c>
      <c r="B283" t="s">
        <v>934</v>
      </c>
      <c r="C283" s="29" t="s">
        <v>733</v>
      </c>
      <c r="D283" t="s">
        <v>734</v>
      </c>
      <c r="E283" t="s">
        <v>1492</v>
      </c>
      <c r="F283" t="s">
        <v>1493</v>
      </c>
      <c r="G283" t="s">
        <v>893</v>
      </c>
      <c r="H283" s="14" t="s">
        <v>735</v>
      </c>
      <c r="I283" s="23">
        <v>43532</v>
      </c>
      <c r="J283" s="27">
        <v>24</v>
      </c>
      <c r="K283" s="17">
        <f t="shared" si="4"/>
        <v>23</v>
      </c>
      <c r="L283" s="4">
        <v>42826</v>
      </c>
      <c r="M283" s="4">
        <v>43532</v>
      </c>
      <c r="N283" s="27">
        <v>24</v>
      </c>
    </row>
    <row r="284" spans="1:14">
      <c r="A284" t="s">
        <v>798</v>
      </c>
      <c r="B284" t="s">
        <v>1505</v>
      </c>
      <c r="C284" s="29" t="s">
        <v>47</v>
      </c>
      <c r="D284" t="s">
        <v>48</v>
      </c>
      <c r="E284" t="s">
        <v>1494</v>
      </c>
      <c r="F284" t="s">
        <v>1495</v>
      </c>
      <c r="G284" t="s">
        <v>866</v>
      </c>
      <c r="H284" s="14" t="s">
        <v>49</v>
      </c>
      <c r="I284" s="14">
        <v>43836</v>
      </c>
      <c r="J284" s="27">
        <v>24</v>
      </c>
      <c r="K284" s="19">
        <f t="shared" si="4"/>
        <v>2832</v>
      </c>
      <c r="L284" s="4">
        <v>42720</v>
      </c>
      <c r="M284" s="4">
        <v>43815</v>
      </c>
      <c r="N284" s="27">
        <v>36</v>
      </c>
    </row>
    <row r="285" spans="1:14" ht="13.5" thickBot="1">
      <c r="A285" t="s">
        <v>798</v>
      </c>
      <c r="B285" t="s">
        <v>1505</v>
      </c>
      <c r="C285" s="29" t="s">
        <v>50</v>
      </c>
      <c r="D285" t="s">
        <v>51</v>
      </c>
      <c r="E285" t="s">
        <v>1496</v>
      </c>
      <c r="F285" t="s">
        <v>1497</v>
      </c>
      <c r="G285" t="s">
        <v>866</v>
      </c>
      <c r="H285" s="14" t="s">
        <v>52</v>
      </c>
      <c r="I285" s="14">
        <v>43434</v>
      </c>
      <c r="J285" s="27">
        <v>24</v>
      </c>
      <c r="K285" s="19">
        <f t="shared" si="4"/>
        <v>609</v>
      </c>
      <c r="L285" s="4">
        <v>42339</v>
      </c>
      <c r="M285" s="4">
        <v>43435</v>
      </c>
      <c r="N285" s="27">
        <v>36</v>
      </c>
    </row>
    <row r="286" spans="1:14" ht="13.5" thickBot="1">
      <c r="A286" t="s">
        <v>798</v>
      </c>
      <c r="B286" t="s">
        <v>934</v>
      </c>
      <c r="C286" s="29" t="s">
        <v>618</v>
      </c>
      <c r="D286" t="s">
        <v>619</v>
      </c>
      <c r="E286" t="s">
        <v>1498</v>
      </c>
      <c r="F286" t="s">
        <v>1499</v>
      </c>
      <c r="G286" t="s">
        <v>866</v>
      </c>
      <c r="H286" s="14" t="s">
        <v>260</v>
      </c>
      <c r="I286" s="14">
        <v>43131</v>
      </c>
      <c r="J286" s="27">
        <v>24</v>
      </c>
      <c r="K286" s="17">
        <f t="shared" si="4"/>
        <v>-53</v>
      </c>
      <c r="L286" s="7">
        <v>42348</v>
      </c>
      <c r="M286" s="6">
        <v>43131</v>
      </c>
      <c r="N286" s="27">
        <v>24</v>
      </c>
    </row>
    <row r="287" spans="1:14" ht="13.5" thickBot="1">
      <c r="A287" t="s">
        <v>798</v>
      </c>
      <c r="B287" t="s">
        <v>934</v>
      </c>
      <c r="C287" s="31" t="s">
        <v>620</v>
      </c>
      <c r="D287" s="12" t="s">
        <v>621</v>
      </c>
      <c r="E287" t="s">
        <v>1500</v>
      </c>
      <c r="F287" t="s">
        <v>1501</v>
      </c>
      <c r="G287" t="s">
        <v>866</v>
      </c>
      <c r="H287" s="14" t="s">
        <v>266</v>
      </c>
      <c r="I287" s="14">
        <v>43251</v>
      </c>
      <c r="J287" s="27">
        <v>24</v>
      </c>
      <c r="K287" s="17">
        <f t="shared" si="4"/>
        <v>71</v>
      </c>
      <c r="L287" s="4">
        <v>42593</v>
      </c>
      <c r="M287" s="4">
        <v>43323</v>
      </c>
      <c r="N287" s="27">
        <v>24</v>
      </c>
    </row>
    <row r="288" spans="1:14" ht="13.5" thickBot="1">
      <c r="A288" t="s">
        <v>820</v>
      </c>
      <c r="B288" t="s">
        <v>1505</v>
      </c>
      <c r="C288" s="31" t="s">
        <v>410</v>
      </c>
      <c r="D288" s="12" t="s">
        <v>411</v>
      </c>
      <c r="E288" t="s">
        <v>1502</v>
      </c>
      <c r="F288" t="s">
        <v>1503</v>
      </c>
      <c r="G288" t="s">
        <v>888</v>
      </c>
      <c r="H288" s="14" t="s">
        <v>412</v>
      </c>
      <c r="I288" s="14">
        <v>43792</v>
      </c>
      <c r="J288" s="27">
        <v>24</v>
      </c>
      <c r="K288" s="19">
        <f t="shared" si="4"/>
        <v>-62</v>
      </c>
      <c r="L288" s="13">
        <v>40079</v>
      </c>
      <c r="M288" s="4">
        <v>43792</v>
      </c>
      <c r="N288" s="27" t="s">
        <v>413</v>
      </c>
    </row>
  </sheetData>
  <sortState ref="A3:P504">
    <sortCondition ref="G3:G504"/>
    <sortCondition ref="B3:B504"/>
    <sortCondition ref="C3:C504"/>
  </sortState>
  <mergeCells count="4">
    <mergeCell ref="O1:Q1"/>
    <mergeCell ref="L1:N1"/>
    <mergeCell ref="H1:J1"/>
    <mergeCell ref="R1:T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2"/>
  <dimension ref="A1:H85"/>
  <sheetViews>
    <sheetView workbookViewId="0">
      <selection activeCell="G8" sqref="G8"/>
    </sheetView>
  </sheetViews>
  <sheetFormatPr defaultRowHeight="12.75"/>
  <cols>
    <col min="1" max="1" width="20.33203125" customWidth="1"/>
    <col min="2" max="2" width="27.33203125" customWidth="1"/>
    <col min="7" max="7" width="33.33203125" bestFit="1" customWidth="1"/>
    <col min="8" max="8" width="11.5" customWidth="1"/>
  </cols>
  <sheetData>
    <row r="1" spans="1:8">
      <c r="G1" s="24" t="s">
        <v>924</v>
      </c>
      <c r="H1" t="s" vm="1">
        <v>934</v>
      </c>
    </row>
    <row r="3" spans="1:8">
      <c r="A3" t="s">
        <v>927</v>
      </c>
      <c r="B3" t="s">
        <v>928</v>
      </c>
      <c r="G3" t="s">
        <v>928</v>
      </c>
    </row>
    <row r="4" spans="1:8">
      <c r="A4" s="25">
        <v>286</v>
      </c>
      <c r="B4" s="25">
        <v>77</v>
      </c>
      <c r="C4">
        <f>GETPIVOTDATA("[Measures].[Počet DODATOKNOVA RZ]",$A$3)/GETPIVOTDATA("[Measures].[Odlišný počet EMPLOYEE_NAME]",$A$3)</f>
        <v>3.7142857142857144</v>
      </c>
      <c r="G4" s="25">
        <v>55</v>
      </c>
    </row>
    <row r="7" spans="1:8">
      <c r="A7" s="24" t="s">
        <v>925</v>
      </c>
      <c r="B7" t="s">
        <v>927</v>
      </c>
      <c r="C7" t="s">
        <v>930</v>
      </c>
      <c r="D7">
        <f>MAX(B8:B84)</f>
        <v>15</v>
      </c>
    </row>
    <row r="8" spans="1:8">
      <c r="A8" s="5" t="s">
        <v>839</v>
      </c>
      <c r="B8" s="25">
        <v>15</v>
      </c>
    </row>
    <row r="9" spans="1:8">
      <c r="A9" s="5" t="s">
        <v>873</v>
      </c>
      <c r="B9" s="25">
        <v>15</v>
      </c>
    </row>
    <row r="10" spans="1:8">
      <c r="A10" s="5" t="s">
        <v>851</v>
      </c>
      <c r="B10" s="25">
        <v>11</v>
      </c>
    </row>
    <row r="11" spans="1:8">
      <c r="A11" s="5" t="s">
        <v>872</v>
      </c>
      <c r="B11" s="25">
        <v>10</v>
      </c>
    </row>
    <row r="12" spans="1:8">
      <c r="A12" s="5" t="s">
        <v>886</v>
      </c>
      <c r="B12" s="25">
        <v>9</v>
      </c>
    </row>
    <row r="13" spans="1:8">
      <c r="A13" s="5" t="s">
        <v>882</v>
      </c>
      <c r="B13" s="25">
        <v>9</v>
      </c>
    </row>
    <row r="14" spans="1:8">
      <c r="A14" s="5" t="s">
        <v>862</v>
      </c>
      <c r="B14" s="25">
        <v>9</v>
      </c>
    </row>
    <row r="15" spans="1:8">
      <c r="A15" s="5" t="s">
        <v>899</v>
      </c>
      <c r="B15" s="25">
        <v>8</v>
      </c>
    </row>
    <row r="16" spans="1:8">
      <c r="A16" s="5" t="s">
        <v>893</v>
      </c>
      <c r="B16" s="25">
        <v>8</v>
      </c>
    </row>
    <row r="17" spans="1:2">
      <c r="A17" s="5" t="s">
        <v>837</v>
      </c>
      <c r="B17" s="25">
        <v>7</v>
      </c>
    </row>
    <row r="18" spans="1:2">
      <c r="A18" s="5" t="s">
        <v>885</v>
      </c>
      <c r="B18" s="25">
        <v>7</v>
      </c>
    </row>
    <row r="19" spans="1:2">
      <c r="A19" s="5" t="s">
        <v>884</v>
      </c>
      <c r="B19" s="25">
        <v>6</v>
      </c>
    </row>
    <row r="20" spans="1:2">
      <c r="A20" s="5" t="s">
        <v>898</v>
      </c>
      <c r="B20" s="25">
        <v>6</v>
      </c>
    </row>
    <row r="21" spans="1:2">
      <c r="A21" s="5" t="s">
        <v>845</v>
      </c>
      <c r="B21" s="25">
        <v>6</v>
      </c>
    </row>
    <row r="22" spans="1:2">
      <c r="A22" s="5" t="s">
        <v>894</v>
      </c>
      <c r="B22" s="25">
        <v>5</v>
      </c>
    </row>
    <row r="23" spans="1:2">
      <c r="A23" s="5" t="s">
        <v>876</v>
      </c>
      <c r="B23" s="25">
        <v>5</v>
      </c>
    </row>
    <row r="24" spans="1:2">
      <c r="A24" s="5" t="s">
        <v>836</v>
      </c>
      <c r="B24" s="25">
        <v>5</v>
      </c>
    </row>
    <row r="25" spans="1:2">
      <c r="A25" s="5" t="s">
        <v>878</v>
      </c>
      <c r="B25" s="25">
        <v>5</v>
      </c>
    </row>
    <row r="26" spans="1:2">
      <c r="A26" s="5" t="s">
        <v>889</v>
      </c>
      <c r="B26" s="25">
        <v>5</v>
      </c>
    </row>
    <row r="27" spans="1:2">
      <c r="A27" s="5" t="s">
        <v>843</v>
      </c>
      <c r="B27" s="25">
        <v>5</v>
      </c>
    </row>
    <row r="28" spans="1:2">
      <c r="A28" s="5" t="s">
        <v>863</v>
      </c>
      <c r="B28" s="25">
        <v>4</v>
      </c>
    </row>
    <row r="29" spans="1:2">
      <c r="A29" s="5" t="s">
        <v>895</v>
      </c>
      <c r="B29" s="25">
        <v>4</v>
      </c>
    </row>
    <row r="30" spans="1:2">
      <c r="A30" s="5" t="s">
        <v>877</v>
      </c>
      <c r="B30" s="25">
        <v>4</v>
      </c>
    </row>
    <row r="31" spans="1:2">
      <c r="A31" s="5" t="s">
        <v>890</v>
      </c>
      <c r="B31" s="25">
        <v>4</v>
      </c>
    </row>
    <row r="32" spans="1:2">
      <c r="A32" s="5" t="s">
        <v>875</v>
      </c>
      <c r="B32" s="25">
        <v>4</v>
      </c>
    </row>
    <row r="33" spans="1:2">
      <c r="A33" s="5" t="s">
        <v>883</v>
      </c>
      <c r="B33" s="25">
        <v>4</v>
      </c>
    </row>
    <row r="34" spans="1:2">
      <c r="A34" s="5" t="s">
        <v>849</v>
      </c>
      <c r="B34" s="25">
        <v>4</v>
      </c>
    </row>
    <row r="35" spans="1:2">
      <c r="A35" s="5" t="s">
        <v>866</v>
      </c>
      <c r="B35" s="25">
        <v>4</v>
      </c>
    </row>
    <row r="36" spans="1:2">
      <c r="A36" s="5" t="s">
        <v>891</v>
      </c>
      <c r="B36" s="25">
        <v>4</v>
      </c>
    </row>
    <row r="37" spans="1:2">
      <c r="A37" s="5" t="s">
        <v>855</v>
      </c>
      <c r="B37" s="25">
        <v>4</v>
      </c>
    </row>
    <row r="38" spans="1:2">
      <c r="A38" s="5" t="s">
        <v>865</v>
      </c>
      <c r="B38" s="25">
        <v>4</v>
      </c>
    </row>
    <row r="39" spans="1:2">
      <c r="A39" s="5" t="s">
        <v>859</v>
      </c>
      <c r="B39" s="25">
        <v>4</v>
      </c>
    </row>
    <row r="40" spans="1:2">
      <c r="A40" s="5" t="s">
        <v>850</v>
      </c>
      <c r="B40" s="25">
        <v>3</v>
      </c>
    </row>
    <row r="41" spans="1:2">
      <c r="A41" s="5" t="s">
        <v>864</v>
      </c>
      <c r="B41" s="25">
        <v>3</v>
      </c>
    </row>
    <row r="42" spans="1:2">
      <c r="A42" s="5" t="s">
        <v>903</v>
      </c>
      <c r="B42" s="25">
        <v>3</v>
      </c>
    </row>
    <row r="43" spans="1:2">
      <c r="A43" s="5" t="s">
        <v>852</v>
      </c>
      <c r="B43" s="25">
        <v>3</v>
      </c>
    </row>
    <row r="44" spans="1:2">
      <c r="A44" s="5" t="s">
        <v>917</v>
      </c>
      <c r="B44" s="25">
        <v>3</v>
      </c>
    </row>
    <row r="45" spans="1:2">
      <c r="A45" s="5" t="s">
        <v>857</v>
      </c>
      <c r="B45" s="25">
        <v>3</v>
      </c>
    </row>
    <row r="46" spans="1:2">
      <c r="A46" s="5" t="s">
        <v>838</v>
      </c>
      <c r="B46" s="25">
        <v>3</v>
      </c>
    </row>
    <row r="47" spans="1:2">
      <c r="A47" s="5" t="s">
        <v>892</v>
      </c>
      <c r="B47" s="25">
        <v>3</v>
      </c>
    </row>
    <row r="48" spans="1:2">
      <c r="A48" s="5" t="s">
        <v>919</v>
      </c>
      <c r="B48" s="25">
        <v>3</v>
      </c>
    </row>
    <row r="49" spans="1:2">
      <c r="A49" s="5" t="s">
        <v>880</v>
      </c>
      <c r="B49" s="25">
        <v>3</v>
      </c>
    </row>
    <row r="50" spans="1:2">
      <c r="A50" s="5" t="s">
        <v>860</v>
      </c>
      <c r="B50" s="25">
        <v>3</v>
      </c>
    </row>
    <row r="51" spans="1:2">
      <c r="A51" s="5" t="s">
        <v>858</v>
      </c>
      <c r="B51" s="25">
        <v>2</v>
      </c>
    </row>
    <row r="52" spans="1:2">
      <c r="A52" s="5" t="s">
        <v>856</v>
      </c>
      <c r="B52" s="25">
        <v>2</v>
      </c>
    </row>
    <row r="53" spans="1:2">
      <c r="A53" s="5" t="s">
        <v>847</v>
      </c>
      <c r="B53" s="25">
        <v>2</v>
      </c>
    </row>
    <row r="54" spans="1:2">
      <c r="A54" s="5" t="s">
        <v>902</v>
      </c>
      <c r="B54" s="25">
        <v>2</v>
      </c>
    </row>
    <row r="55" spans="1:2">
      <c r="A55" s="5" t="s">
        <v>846</v>
      </c>
      <c r="B55" s="25">
        <v>2</v>
      </c>
    </row>
    <row r="56" spans="1:2">
      <c r="A56" s="5" t="s">
        <v>881</v>
      </c>
      <c r="B56" s="25">
        <v>2</v>
      </c>
    </row>
    <row r="57" spans="1:2">
      <c r="A57" s="5" t="s">
        <v>844</v>
      </c>
      <c r="B57" s="25">
        <v>2</v>
      </c>
    </row>
    <row r="58" spans="1:2">
      <c r="A58" s="5" t="s">
        <v>840</v>
      </c>
      <c r="B58" s="25">
        <v>2</v>
      </c>
    </row>
    <row r="59" spans="1:2">
      <c r="A59" s="5" t="s">
        <v>853</v>
      </c>
      <c r="B59" s="25">
        <v>2</v>
      </c>
    </row>
    <row r="60" spans="1:2">
      <c r="A60" s="5" t="s">
        <v>854</v>
      </c>
      <c r="B60" s="25">
        <v>2</v>
      </c>
    </row>
    <row r="61" spans="1:2">
      <c r="A61" s="5" t="s">
        <v>841</v>
      </c>
      <c r="B61" s="25">
        <v>2</v>
      </c>
    </row>
    <row r="62" spans="1:2">
      <c r="A62" s="5" t="s">
        <v>870</v>
      </c>
      <c r="B62" s="25">
        <v>2</v>
      </c>
    </row>
    <row r="63" spans="1:2">
      <c r="A63" s="5" t="s">
        <v>896</v>
      </c>
      <c r="B63" s="25">
        <v>2</v>
      </c>
    </row>
    <row r="64" spans="1:2">
      <c r="A64" s="5" t="s">
        <v>874</v>
      </c>
      <c r="B64" s="25">
        <v>2</v>
      </c>
    </row>
    <row r="65" spans="1:2">
      <c r="A65" s="5" t="s">
        <v>879</v>
      </c>
      <c r="B65" s="25">
        <v>2</v>
      </c>
    </row>
    <row r="66" spans="1:2">
      <c r="A66" s="5" t="s">
        <v>914</v>
      </c>
      <c r="B66" s="25">
        <v>1</v>
      </c>
    </row>
    <row r="67" spans="1:2">
      <c r="A67" s="5" t="s">
        <v>868</v>
      </c>
      <c r="B67" s="25">
        <v>1</v>
      </c>
    </row>
    <row r="68" spans="1:2">
      <c r="A68" s="5" t="s">
        <v>871</v>
      </c>
      <c r="B68" s="25">
        <v>1</v>
      </c>
    </row>
    <row r="69" spans="1:2">
      <c r="A69" s="5" t="s">
        <v>918</v>
      </c>
      <c r="B69" s="25">
        <v>1</v>
      </c>
    </row>
    <row r="70" spans="1:2">
      <c r="A70" s="5" t="s">
        <v>921</v>
      </c>
      <c r="B70" s="25">
        <v>1</v>
      </c>
    </row>
    <row r="71" spans="1:2">
      <c r="A71" s="5" t="s">
        <v>848</v>
      </c>
      <c r="B71" s="25">
        <v>1</v>
      </c>
    </row>
    <row r="72" spans="1:2">
      <c r="A72" s="5" t="s">
        <v>901</v>
      </c>
      <c r="B72" s="25">
        <v>1</v>
      </c>
    </row>
    <row r="73" spans="1:2">
      <c r="A73" s="5" t="s">
        <v>897</v>
      </c>
      <c r="B73" s="25">
        <v>1</v>
      </c>
    </row>
    <row r="74" spans="1:2">
      <c r="A74" s="5" t="s">
        <v>900</v>
      </c>
      <c r="B74" s="25">
        <v>1</v>
      </c>
    </row>
    <row r="75" spans="1:2">
      <c r="A75" s="5" t="s">
        <v>915</v>
      </c>
      <c r="B75" s="25">
        <v>1</v>
      </c>
    </row>
    <row r="76" spans="1:2">
      <c r="A76" s="5" t="s">
        <v>867</v>
      </c>
      <c r="B76" s="25">
        <v>1</v>
      </c>
    </row>
    <row r="77" spans="1:2">
      <c r="A77" s="5" t="s">
        <v>842</v>
      </c>
      <c r="B77" s="25">
        <v>1</v>
      </c>
    </row>
    <row r="78" spans="1:2">
      <c r="A78" s="5" t="s">
        <v>916</v>
      </c>
      <c r="B78" s="25">
        <v>1</v>
      </c>
    </row>
    <row r="79" spans="1:2">
      <c r="A79" s="5" t="s">
        <v>861</v>
      </c>
      <c r="B79" s="25">
        <v>1</v>
      </c>
    </row>
    <row r="80" spans="1:2">
      <c r="A80" s="5" t="s">
        <v>920</v>
      </c>
      <c r="B80" s="25">
        <v>1</v>
      </c>
    </row>
    <row r="81" spans="1:2">
      <c r="A81" s="5" t="s">
        <v>887</v>
      </c>
      <c r="B81" s="25">
        <v>1</v>
      </c>
    </row>
    <row r="82" spans="1:2">
      <c r="A82" s="5" t="s">
        <v>888</v>
      </c>
      <c r="B82" s="25">
        <v>1</v>
      </c>
    </row>
    <row r="83" spans="1:2">
      <c r="A83" s="5" t="s">
        <v>913</v>
      </c>
      <c r="B83" s="25">
        <v>1</v>
      </c>
    </row>
    <row r="84" spans="1:2">
      <c r="A84" s="5" t="s">
        <v>869</v>
      </c>
      <c r="B84" s="25">
        <v>1</v>
      </c>
    </row>
    <row r="85" spans="1:2">
      <c r="A85" s="5" t="s">
        <v>926</v>
      </c>
      <c r="B85" s="25">
        <v>286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3"/>
  <dimension ref="A1:A78"/>
  <sheetViews>
    <sheetView workbookViewId="0"/>
  </sheetViews>
  <sheetFormatPr defaultRowHeight="12.75"/>
  <cols>
    <col min="1" max="1" width="20.33203125" bestFit="1" customWidth="1"/>
  </cols>
  <sheetData>
    <row r="1" spans="1:1">
      <c r="A1" s="21" t="s">
        <v>766</v>
      </c>
    </row>
    <row r="2" spans="1:1">
      <c r="A2" t="s">
        <v>848</v>
      </c>
    </row>
    <row r="3" spans="1:1">
      <c r="A3" t="s">
        <v>900</v>
      </c>
    </row>
    <row r="4" spans="1:1">
      <c r="A4" t="s">
        <v>840</v>
      </c>
    </row>
    <row r="5" spans="1:1">
      <c r="A5" t="s">
        <v>898</v>
      </c>
    </row>
    <row r="6" spans="1:1">
      <c r="A6" t="s">
        <v>868</v>
      </c>
    </row>
    <row r="7" spans="1:1">
      <c r="A7" t="s">
        <v>869</v>
      </c>
    </row>
    <row r="8" spans="1:1">
      <c r="A8" t="s">
        <v>873</v>
      </c>
    </row>
    <row r="9" spans="1:1">
      <c r="A9" t="s">
        <v>841</v>
      </c>
    </row>
    <row r="10" spans="1:1">
      <c r="A10" t="s">
        <v>886</v>
      </c>
    </row>
    <row r="11" spans="1:1">
      <c r="A11" t="s">
        <v>870</v>
      </c>
    </row>
    <row r="12" spans="1:1">
      <c r="A12" t="s">
        <v>836</v>
      </c>
    </row>
    <row r="13" spans="1:1">
      <c r="A13" t="s">
        <v>884</v>
      </c>
    </row>
    <row r="14" spans="1:1">
      <c r="A14" t="s">
        <v>852</v>
      </c>
    </row>
    <row r="15" spans="1:1">
      <c r="A15" t="s">
        <v>844</v>
      </c>
    </row>
    <row r="16" spans="1:1">
      <c r="A16" t="s">
        <v>871</v>
      </c>
    </row>
    <row r="17" spans="1:1">
      <c r="A17" t="s">
        <v>913</v>
      </c>
    </row>
    <row r="18" spans="1:1">
      <c r="A18" t="s">
        <v>901</v>
      </c>
    </row>
    <row r="19" spans="1:1">
      <c r="A19" t="s">
        <v>842</v>
      </c>
    </row>
    <row r="20" spans="1:1">
      <c r="A20" t="s">
        <v>874</v>
      </c>
    </row>
    <row r="21" spans="1:1">
      <c r="A21" t="s">
        <v>865</v>
      </c>
    </row>
    <row r="22" spans="1:1">
      <c r="A22" t="s">
        <v>854</v>
      </c>
    </row>
    <row r="23" spans="1:1">
      <c r="A23" t="s">
        <v>855</v>
      </c>
    </row>
    <row r="24" spans="1:1">
      <c r="A24" t="s">
        <v>918</v>
      </c>
    </row>
    <row r="25" spans="1:1">
      <c r="A25" t="s">
        <v>850</v>
      </c>
    </row>
    <row r="26" spans="1:1">
      <c r="A26" t="s">
        <v>903</v>
      </c>
    </row>
    <row r="27" spans="1:1">
      <c r="A27" t="s">
        <v>919</v>
      </c>
    </row>
    <row r="28" spans="1:1">
      <c r="A28" t="s">
        <v>837</v>
      </c>
    </row>
    <row r="29" spans="1:1">
      <c r="A29" t="s">
        <v>921</v>
      </c>
    </row>
    <row r="30" spans="1:1">
      <c r="A30" t="s">
        <v>864</v>
      </c>
    </row>
    <row r="31" spans="1:1">
      <c r="A31" t="s">
        <v>914</v>
      </c>
    </row>
    <row r="32" spans="1:1">
      <c r="A32" t="s">
        <v>890</v>
      </c>
    </row>
    <row r="33" spans="1:1">
      <c r="A33" t="s">
        <v>902</v>
      </c>
    </row>
    <row r="34" spans="1:1">
      <c r="A34" t="s">
        <v>878</v>
      </c>
    </row>
    <row r="35" spans="1:1">
      <c r="A35" t="s">
        <v>851</v>
      </c>
    </row>
    <row r="36" spans="1:1">
      <c r="A36" t="s">
        <v>881</v>
      </c>
    </row>
    <row r="37" spans="1:1">
      <c r="A37" t="s">
        <v>891</v>
      </c>
    </row>
    <row r="38" spans="1:1">
      <c r="A38" t="s">
        <v>846</v>
      </c>
    </row>
    <row r="39" spans="1:1">
      <c r="A39" t="s">
        <v>895</v>
      </c>
    </row>
    <row r="40" spans="1:1">
      <c r="A40" t="s">
        <v>859</v>
      </c>
    </row>
    <row r="41" spans="1:1">
      <c r="A41" t="s">
        <v>856</v>
      </c>
    </row>
    <row r="42" spans="1:1">
      <c r="A42" t="s">
        <v>857</v>
      </c>
    </row>
    <row r="43" spans="1:1">
      <c r="A43" t="s">
        <v>892</v>
      </c>
    </row>
    <row r="44" spans="1:1">
      <c r="A44" t="s">
        <v>872</v>
      </c>
    </row>
    <row r="45" spans="1:1">
      <c r="A45" t="s">
        <v>858</v>
      </c>
    </row>
    <row r="46" spans="1:1">
      <c r="A46" t="s">
        <v>843</v>
      </c>
    </row>
    <row r="47" spans="1:1">
      <c r="A47" t="s">
        <v>880</v>
      </c>
    </row>
    <row r="48" spans="1:1">
      <c r="A48" t="s">
        <v>920</v>
      </c>
    </row>
    <row r="49" spans="1:1">
      <c r="A49" t="s">
        <v>899</v>
      </c>
    </row>
    <row r="50" spans="1:1">
      <c r="A50" t="s">
        <v>860</v>
      </c>
    </row>
    <row r="51" spans="1:1">
      <c r="A51" t="s">
        <v>896</v>
      </c>
    </row>
    <row r="52" spans="1:1">
      <c r="A52" t="s">
        <v>862</v>
      </c>
    </row>
    <row r="53" spans="1:1">
      <c r="A53" t="s">
        <v>887</v>
      </c>
    </row>
    <row r="54" spans="1:1">
      <c r="A54" t="s">
        <v>875</v>
      </c>
    </row>
    <row r="55" spans="1:1">
      <c r="A55" t="s">
        <v>917</v>
      </c>
    </row>
    <row r="56" spans="1:1">
      <c r="A56" t="s">
        <v>879</v>
      </c>
    </row>
    <row r="57" spans="1:1">
      <c r="A57" t="s">
        <v>916</v>
      </c>
    </row>
    <row r="58" spans="1:1">
      <c r="A58" t="s">
        <v>889</v>
      </c>
    </row>
    <row r="59" spans="1:1">
      <c r="A59" t="s">
        <v>839</v>
      </c>
    </row>
    <row r="60" spans="1:1">
      <c r="A60" t="s">
        <v>876</v>
      </c>
    </row>
    <row r="61" spans="1:1">
      <c r="A61" t="s">
        <v>883</v>
      </c>
    </row>
    <row r="62" spans="1:1">
      <c r="A62" t="s">
        <v>885</v>
      </c>
    </row>
    <row r="63" spans="1:1">
      <c r="A63" t="s">
        <v>897</v>
      </c>
    </row>
    <row r="64" spans="1:1">
      <c r="A64" t="s">
        <v>915</v>
      </c>
    </row>
    <row r="65" spans="1:1">
      <c r="A65" t="s">
        <v>838</v>
      </c>
    </row>
    <row r="66" spans="1:1">
      <c r="A66" t="s">
        <v>861</v>
      </c>
    </row>
    <row r="67" spans="1:1">
      <c r="A67" t="s">
        <v>882</v>
      </c>
    </row>
    <row r="68" spans="1:1">
      <c r="A68" t="s">
        <v>845</v>
      </c>
    </row>
    <row r="69" spans="1:1">
      <c r="A69" t="s">
        <v>853</v>
      </c>
    </row>
    <row r="70" spans="1:1">
      <c r="A70" t="s">
        <v>894</v>
      </c>
    </row>
    <row r="71" spans="1:1">
      <c r="A71" t="s">
        <v>847</v>
      </c>
    </row>
    <row r="72" spans="1:1">
      <c r="A72" t="s">
        <v>867</v>
      </c>
    </row>
    <row r="73" spans="1:1">
      <c r="A73" t="s">
        <v>863</v>
      </c>
    </row>
    <row r="74" spans="1:1">
      <c r="A74" t="s">
        <v>849</v>
      </c>
    </row>
    <row r="75" spans="1:1">
      <c r="A75" t="s">
        <v>877</v>
      </c>
    </row>
    <row r="76" spans="1:1">
      <c r="A76" t="s">
        <v>893</v>
      </c>
    </row>
    <row r="77" spans="1:1">
      <c r="A77" t="s">
        <v>866</v>
      </c>
    </row>
    <row r="78" spans="1:1">
      <c r="A78" t="s">
        <v>888</v>
      </c>
    </row>
  </sheetData>
  <sortState ref="A1:A503">
    <sortCondition ref="A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"/>
  <sheetViews>
    <sheetView workbookViewId="0"/>
  </sheetViews>
  <sheetFormatPr defaultRowHeight="12.75"/>
  <cols>
    <col min="1" max="1" width="7.1640625" bestFit="1" customWidth="1"/>
    <col min="2" max="2" width="20.83203125" bestFit="1" customWidth="1"/>
    <col min="3" max="3" width="22.33203125" bestFit="1" customWidth="1"/>
    <col min="4" max="4" width="6.1640625" bestFit="1" customWidth="1"/>
    <col min="5" max="5" width="19.6640625" bestFit="1" customWidth="1"/>
    <col min="6" max="7" width="17.6640625" bestFit="1" customWidth="1"/>
    <col min="8" max="8" width="17.83203125" bestFit="1" customWidth="1"/>
    <col min="9" max="9" width="15.5" bestFit="1" customWidth="1"/>
    <col min="10" max="10" width="23.33203125" bestFit="1" customWidth="1"/>
    <col min="11" max="11" width="17.83203125" bestFit="1" customWidth="1"/>
    <col min="12" max="12" width="15.5" bestFit="1" customWidth="1"/>
    <col min="13" max="13" width="23.33203125" bestFit="1" customWidth="1"/>
  </cols>
  <sheetData>
    <row r="1" spans="1:13">
      <c r="C1" s="29"/>
      <c r="H1" s="34" t="s">
        <v>922</v>
      </c>
      <c r="I1" s="34"/>
      <c r="J1" s="34"/>
      <c r="K1" s="33" t="s">
        <v>923</v>
      </c>
      <c r="L1" s="33"/>
      <c r="M1" s="33"/>
    </row>
    <row r="2" spans="1:13">
      <c r="A2" s="21" t="s">
        <v>767</v>
      </c>
      <c r="B2" s="21" t="s">
        <v>924</v>
      </c>
      <c r="C2" s="30" t="s">
        <v>0</v>
      </c>
      <c r="D2" s="1" t="s">
        <v>1</v>
      </c>
      <c r="E2" s="1" t="s">
        <v>932</v>
      </c>
      <c r="F2" s="1" t="s">
        <v>933</v>
      </c>
      <c r="G2" s="1" t="s">
        <v>766</v>
      </c>
      <c r="H2" s="26" t="s">
        <v>2</v>
      </c>
      <c r="I2" s="2" t="s">
        <v>3</v>
      </c>
      <c r="J2" s="2" t="s">
        <v>4</v>
      </c>
      <c r="K2" s="3" t="s">
        <v>2</v>
      </c>
      <c r="L2" s="3" t="s">
        <v>3</v>
      </c>
      <c r="M2" s="3" t="s">
        <v>4</v>
      </c>
    </row>
  </sheetData>
  <mergeCells count="2">
    <mergeCell ref="H1:J1"/>
    <mergeCell ref="K1:M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4"/>
  <dimension ref="A1:P2"/>
  <sheetViews>
    <sheetView workbookViewId="0"/>
  </sheetViews>
  <sheetFormatPr defaultRowHeight="12.75"/>
  <cols>
    <col min="1" max="1" width="7.1640625" bestFit="1" customWidth="1"/>
    <col min="2" max="2" width="20.83203125" bestFit="1" customWidth="1"/>
    <col min="3" max="3" width="22.33203125" bestFit="1" customWidth="1"/>
    <col min="4" max="4" width="6.1640625" bestFit="1" customWidth="1"/>
    <col min="5" max="5" width="19.6640625" bestFit="1" customWidth="1"/>
    <col min="6" max="7" width="17.6640625" bestFit="1" customWidth="1"/>
    <col min="8" max="8" width="17.83203125" bestFit="1" customWidth="1"/>
    <col min="9" max="9" width="15.5" bestFit="1" customWidth="1"/>
    <col min="10" max="10" width="23.33203125" bestFit="1" customWidth="1"/>
    <col min="11" max="11" width="17.83203125" bestFit="1" customWidth="1"/>
    <col min="12" max="12" width="15.5" bestFit="1" customWidth="1"/>
    <col min="13" max="13" width="23.33203125" bestFit="1" customWidth="1"/>
    <col min="14" max="14" width="17.83203125" bestFit="1" customWidth="1"/>
    <col min="15" max="15" width="15.5" bestFit="1" customWidth="1"/>
    <col min="16" max="16" width="23.332031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s="21" t="s">
        <v>767</v>
      </c>
      <c r="B2" s="21" t="s">
        <v>924</v>
      </c>
      <c r="C2" s="30" t="s">
        <v>0</v>
      </c>
      <c r="D2" s="1" t="s">
        <v>1</v>
      </c>
      <c r="E2" s="1" t="s">
        <v>932</v>
      </c>
      <c r="F2" s="1" t="s">
        <v>933</v>
      </c>
      <c r="G2" s="1" t="s">
        <v>766</v>
      </c>
      <c r="H2" s="26" t="s">
        <v>2</v>
      </c>
      <c r="I2" s="2" t="s">
        <v>3</v>
      </c>
      <c r="J2" s="2" t="s">
        <v>4</v>
      </c>
      <c r="K2" s="3" t="s">
        <v>2</v>
      </c>
      <c r="L2" s="3" t="s">
        <v>3</v>
      </c>
      <c r="M2" s="3" t="s">
        <v>4</v>
      </c>
      <c r="N2" s="28" t="s">
        <v>2</v>
      </c>
      <c r="O2" s="28" t="s">
        <v>3</v>
      </c>
      <c r="P2" s="28" t="s">
        <v>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5"/>
  <dimension ref="A1:P2"/>
  <sheetViews>
    <sheetView workbookViewId="0"/>
  </sheetViews>
  <sheetFormatPr defaultRowHeight="12.75"/>
  <cols>
    <col min="1" max="1" width="23.83203125" bestFit="1" customWidth="1"/>
    <col min="2" max="2" width="8.83203125" bestFit="1" customWidth="1"/>
    <col min="3" max="3" width="15.6640625" bestFit="1" customWidth="1"/>
    <col min="4" max="4" width="30.5" bestFit="1" customWidth="1"/>
    <col min="5" max="5" width="9.1640625" bestFit="1" customWidth="1"/>
    <col min="6" max="6" width="18.5" bestFit="1" customWidth="1"/>
    <col min="7" max="7" width="13" bestFit="1" customWidth="1"/>
    <col min="8" max="8" width="10.1640625" bestFit="1" customWidth="1"/>
    <col min="9" max="9" width="9.1640625" bestFit="1" customWidth="1"/>
    <col min="10" max="10" width="3.1640625" bestFit="1" customWidth="1"/>
    <col min="11" max="12" width="9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780</v>
      </c>
      <c r="B2" t="s">
        <v>934</v>
      </c>
      <c r="C2" s="29" t="s">
        <v>553</v>
      </c>
      <c r="D2" t="s">
        <v>554</v>
      </c>
      <c r="E2" t="s">
        <v>935</v>
      </c>
      <c r="F2" t="s">
        <v>936</v>
      </c>
      <c r="G2" t="s">
        <v>848</v>
      </c>
      <c r="H2" s="14" t="s">
        <v>203</v>
      </c>
      <c r="I2" s="23">
        <v>43584</v>
      </c>
      <c r="J2" s="27">
        <v>24</v>
      </c>
      <c r="K2" s="4">
        <v>42824</v>
      </c>
      <c r="L2" s="4">
        <v>43553</v>
      </c>
      <c r="M2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6"/>
  <dimension ref="A1:P2"/>
  <sheetViews>
    <sheetView workbookViewId="0"/>
  </sheetViews>
  <sheetFormatPr defaultRowHeight="12.75"/>
  <cols>
    <col min="1" max="1" width="23.83203125" bestFit="1" customWidth="1"/>
    <col min="2" max="2" width="12.33203125" bestFit="1" customWidth="1"/>
    <col min="3" max="3" width="15.6640625" bestFit="1" customWidth="1"/>
    <col min="4" max="4" width="43.5" bestFit="1" customWidth="1"/>
    <col min="5" max="5" width="9.1640625" bestFit="1" customWidth="1"/>
    <col min="6" max="6" width="22.5" bestFit="1" customWidth="1"/>
    <col min="7" max="7" width="13" bestFit="1" customWidth="1"/>
    <col min="8" max="8" width="10.1640625" bestFit="1" customWidth="1"/>
    <col min="9" max="9" width="9.1640625" bestFit="1" customWidth="1"/>
    <col min="10" max="10" width="3.1640625" bestFit="1" customWidth="1"/>
    <col min="11" max="11" width="8.1640625" bestFit="1" customWidth="1"/>
    <col min="12" max="12" width="9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832</v>
      </c>
      <c r="B2" t="s">
        <v>1505</v>
      </c>
      <c r="C2" s="29" t="s">
        <v>477</v>
      </c>
      <c r="D2" t="s">
        <v>478</v>
      </c>
      <c r="E2" t="s">
        <v>937</v>
      </c>
      <c r="F2" t="s">
        <v>938</v>
      </c>
      <c r="G2" t="s">
        <v>900</v>
      </c>
      <c r="H2" s="14" t="s">
        <v>266</v>
      </c>
      <c r="I2" s="14">
        <v>43251</v>
      </c>
      <c r="J2" s="27">
        <v>24</v>
      </c>
      <c r="K2" s="4">
        <v>42552</v>
      </c>
      <c r="L2" s="4">
        <v>43281</v>
      </c>
      <c r="M2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7"/>
  <dimension ref="A1:P3"/>
  <sheetViews>
    <sheetView workbookViewId="0"/>
  </sheetViews>
  <sheetFormatPr defaultRowHeight="12.75"/>
  <cols>
    <col min="1" max="1" width="21.33203125" bestFit="1" customWidth="1"/>
    <col min="2" max="2" width="12.33203125" bestFit="1" customWidth="1"/>
    <col min="3" max="3" width="15.83203125" bestFit="1" customWidth="1"/>
    <col min="4" max="4" width="56.1640625" bestFit="1" customWidth="1"/>
    <col min="5" max="5" width="9.1640625" bestFit="1" customWidth="1"/>
    <col min="6" max="6" width="35.1640625" bestFit="1" customWidth="1"/>
    <col min="7" max="7" width="10.5" bestFit="1" customWidth="1"/>
    <col min="8" max="8" width="10.1640625" bestFit="1" customWidth="1"/>
    <col min="9" max="9" width="9.1640625" bestFit="1" customWidth="1"/>
    <col min="10" max="10" width="3.1640625" bestFit="1" customWidth="1"/>
    <col min="11" max="11" width="8.1640625" bestFit="1" customWidth="1"/>
    <col min="12" max="12" width="9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772</v>
      </c>
      <c r="B2" t="s">
        <v>1505</v>
      </c>
      <c r="C2" s="29" t="s">
        <v>178</v>
      </c>
      <c r="D2" t="s">
        <v>179</v>
      </c>
      <c r="E2" t="s">
        <v>939</v>
      </c>
      <c r="F2" t="s">
        <v>940</v>
      </c>
      <c r="G2" t="s">
        <v>840</v>
      </c>
      <c r="H2" s="14" t="s">
        <v>180</v>
      </c>
      <c r="I2" s="23">
        <v>43677</v>
      </c>
      <c r="J2" s="27">
        <v>24</v>
      </c>
      <c r="K2" s="4">
        <v>42917</v>
      </c>
      <c r="L2" s="4">
        <v>43646</v>
      </c>
      <c r="M2" s="27">
        <v>24</v>
      </c>
    </row>
    <row r="3" spans="1:16">
      <c r="A3" t="s">
        <v>772</v>
      </c>
      <c r="B3" t="s">
        <v>934</v>
      </c>
      <c r="C3" s="15" t="s">
        <v>529</v>
      </c>
      <c r="D3" s="15" t="s">
        <v>530</v>
      </c>
      <c r="E3" t="s">
        <v>941</v>
      </c>
      <c r="F3" t="s">
        <v>942</v>
      </c>
      <c r="G3" t="s">
        <v>840</v>
      </c>
      <c r="H3" s="14" t="s">
        <v>180</v>
      </c>
      <c r="I3" s="23">
        <v>43677</v>
      </c>
      <c r="J3" s="27">
        <v>24</v>
      </c>
      <c r="K3" s="4">
        <v>42979</v>
      </c>
      <c r="L3" s="4">
        <v>43708</v>
      </c>
      <c r="M3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8"/>
  <dimension ref="A1:P7"/>
  <sheetViews>
    <sheetView workbookViewId="0"/>
  </sheetViews>
  <sheetFormatPr defaultRowHeight="12.75"/>
  <cols>
    <col min="1" max="1" width="23" bestFit="1" customWidth="1"/>
    <col min="2" max="2" width="12.33203125" bestFit="1" customWidth="1"/>
    <col min="3" max="3" width="15.6640625" bestFit="1" customWidth="1"/>
    <col min="4" max="4" width="47.33203125" bestFit="1" customWidth="1"/>
    <col min="5" max="5" width="9.1640625" bestFit="1" customWidth="1"/>
    <col min="6" max="6" width="26.33203125" bestFit="1" customWidth="1"/>
    <col min="7" max="7" width="12.5" bestFit="1" customWidth="1"/>
    <col min="8" max="9" width="10.1640625" bestFit="1" customWidth="1"/>
    <col min="10" max="10" width="3.1640625" bestFit="1" customWidth="1"/>
    <col min="11" max="11" width="9.1640625" bestFit="1" customWidth="1"/>
    <col min="12" max="12" width="10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830</v>
      </c>
      <c r="B2" t="s">
        <v>1505</v>
      </c>
      <c r="C2" s="29" t="s">
        <v>466</v>
      </c>
      <c r="D2" t="s">
        <v>467</v>
      </c>
      <c r="E2" t="s">
        <v>943</v>
      </c>
      <c r="F2" t="s">
        <v>944</v>
      </c>
      <c r="G2" t="s">
        <v>898</v>
      </c>
      <c r="H2" s="14" t="s">
        <v>140</v>
      </c>
      <c r="I2" s="14">
        <v>43281</v>
      </c>
      <c r="J2" s="27">
        <v>24</v>
      </c>
      <c r="K2" s="4">
        <v>42461</v>
      </c>
      <c r="L2" s="4">
        <v>43190</v>
      </c>
      <c r="M2" s="27">
        <v>24</v>
      </c>
    </row>
    <row r="3" spans="1:16">
      <c r="A3" t="s">
        <v>830</v>
      </c>
      <c r="B3" t="s">
        <v>934</v>
      </c>
      <c r="C3" s="29" t="s">
        <v>741</v>
      </c>
      <c r="D3" t="s">
        <v>742</v>
      </c>
      <c r="E3" t="s">
        <v>945</v>
      </c>
      <c r="F3" t="s">
        <v>946</v>
      </c>
      <c r="G3" t="s">
        <v>898</v>
      </c>
      <c r="H3" s="14" t="s">
        <v>510</v>
      </c>
      <c r="I3" s="14">
        <v>43089</v>
      </c>
      <c r="J3" s="27">
        <v>24</v>
      </c>
      <c r="K3" s="4">
        <v>42370</v>
      </c>
      <c r="L3" s="4">
        <v>43089</v>
      </c>
      <c r="M3" s="27">
        <v>24</v>
      </c>
    </row>
    <row r="4" spans="1:16">
      <c r="A4" t="s">
        <v>830</v>
      </c>
      <c r="B4" t="s">
        <v>934</v>
      </c>
      <c r="C4" s="29" t="s">
        <v>508</v>
      </c>
      <c r="D4" t="s">
        <v>509</v>
      </c>
      <c r="E4" t="s">
        <v>947</v>
      </c>
      <c r="F4" t="s">
        <v>948</v>
      </c>
      <c r="G4" t="s">
        <v>898</v>
      </c>
      <c r="H4" s="14" t="s">
        <v>510</v>
      </c>
      <c r="I4" s="14">
        <v>43301</v>
      </c>
      <c r="J4" s="27">
        <v>19</v>
      </c>
      <c r="K4" s="4">
        <v>42370</v>
      </c>
      <c r="L4" s="6">
        <v>43301</v>
      </c>
      <c r="M4" s="27">
        <v>24</v>
      </c>
    </row>
    <row r="5" spans="1:16">
      <c r="A5" t="s">
        <v>830</v>
      </c>
      <c r="B5" t="s">
        <v>934</v>
      </c>
      <c r="C5" s="29" t="s">
        <v>743</v>
      </c>
      <c r="D5" t="s">
        <v>744</v>
      </c>
      <c r="E5" t="s">
        <v>949</v>
      </c>
      <c r="F5" t="s">
        <v>950</v>
      </c>
      <c r="G5" t="s">
        <v>898</v>
      </c>
      <c r="H5" s="14" t="s">
        <v>547</v>
      </c>
      <c r="I5" s="14">
        <v>43343</v>
      </c>
      <c r="J5" s="27">
        <v>24</v>
      </c>
      <c r="K5" s="4">
        <v>42583</v>
      </c>
      <c r="L5" s="4">
        <v>43312</v>
      </c>
      <c r="M5" s="27">
        <v>24</v>
      </c>
    </row>
    <row r="6" spans="1:16">
      <c r="A6" t="s">
        <v>830</v>
      </c>
      <c r="B6" t="s">
        <v>934</v>
      </c>
      <c r="C6" s="29" t="s">
        <v>745</v>
      </c>
      <c r="D6" t="s">
        <v>746</v>
      </c>
      <c r="E6" t="s">
        <v>951</v>
      </c>
      <c r="F6" t="s">
        <v>952</v>
      </c>
      <c r="G6" t="s">
        <v>898</v>
      </c>
      <c r="H6" s="14" t="s">
        <v>67</v>
      </c>
      <c r="I6" s="14">
        <v>43433</v>
      </c>
      <c r="J6" s="27">
        <v>24</v>
      </c>
      <c r="K6" s="4">
        <v>43009</v>
      </c>
      <c r="L6" s="4">
        <v>43738</v>
      </c>
      <c r="M6" s="27">
        <v>24</v>
      </c>
    </row>
    <row r="7" spans="1:16">
      <c r="A7" t="s">
        <v>830</v>
      </c>
      <c r="B7" t="s">
        <v>934</v>
      </c>
      <c r="C7" s="29" t="s">
        <v>747</v>
      </c>
      <c r="D7" t="s">
        <v>748</v>
      </c>
      <c r="E7" t="s">
        <v>953</v>
      </c>
      <c r="F7" t="s">
        <v>954</v>
      </c>
      <c r="G7" t="s">
        <v>898</v>
      </c>
      <c r="H7" s="14" t="s">
        <v>749</v>
      </c>
      <c r="I7" s="14">
        <v>43725</v>
      </c>
      <c r="J7" s="27">
        <v>24</v>
      </c>
      <c r="K7" s="4">
        <v>43009</v>
      </c>
      <c r="L7" s="4">
        <v>43725</v>
      </c>
      <c r="M7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9"/>
  <dimension ref="A1:P2"/>
  <sheetViews>
    <sheetView workbookViewId="0"/>
  </sheetViews>
  <sheetFormatPr defaultRowHeight="12.75"/>
  <cols>
    <col min="1" max="1" width="23.6640625" bestFit="1" customWidth="1"/>
    <col min="2" max="2" width="12.33203125" bestFit="1" customWidth="1"/>
    <col min="3" max="3" width="15.6640625" bestFit="1" customWidth="1"/>
    <col min="4" max="4" width="43.33203125" bestFit="1" customWidth="1"/>
    <col min="5" max="5" width="9.1640625" bestFit="1" customWidth="1"/>
    <col min="6" max="6" width="22.33203125" bestFit="1" customWidth="1"/>
    <col min="7" max="7" width="12.1640625" bestFit="1" customWidth="1"/>
    <col min="8" max="8" width="10.1640625" bestFit="1" customWidth="1"/>
    <col min="9" max="9" width="9.1640625" bestFit="1" customWidth="1"/>
    <col min="10" max="10" width="3.1640625" bestFit="1" customWidth="1"/>
    <col min="11" max="11" width="8.1640625" bestFit="1" customWidth="1"/>
    <col min="12" max="12" width="9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800</v>
      </c>
      <c r="B2" t="s">
        <v>1505</v>
      </c>
      <c r="C2" s="29" t="s">
        <v>285</v>
      </c>
      <c r="D2" t="s">
        <v>286</v>
      </c>
      <c r="E2" t="s">
        <v>955</v>
      </c>
      <c r="F2" t="s">
        <v>956</v>
      </c>
      <c r="G2" t="s">
        <v>868</v>
      </c>
      <c r="H2" s="14" t="s">
        <v>121</v>
      </c>
      <c r="I2" s="23">
        <v>43131</v>
      </c>
      <c r="J2" s="27">
        <v>24</v>
      </c>
      <c r="K2" s="4">
        <v>42401</v>
      </c>
      <c r="L2" s="4">
        <v>43131</v>
      </c>
      <c r="M2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10"/>
  <dimension ref="A1:P2"/>
  <sheetViews>
    <sheetView workbookViewId="0"/>
  </sheetViews>
  <sheetFormatPr defaultRowHeight="12.75"/>
  <cols>
    <col min="1" max="1" width="23" bestFit="1" customWidth="1"/>
    <col min="2" max="2" width="8.83203125" bestFit="1" customWidth="1"/>
    <col min="3" max="3" width="15.6640625" bestFit="1" customWidth="1"/>
    <col min="4" max="4" width="25" bestFit="1" customWidth="1"/>
    <col min="5" max="5" width="9.1640625" bestFit="1" customWidth="1"/>
    <col min="6" max="6" width="13" bestFit="1" customWidth="1"/>
    <col min="7" max="7" width="11.5" bestFit="1" customWidth="1"/>
    <col min="8" max="8" width="10.1640625" bestFit="1" customWidth="1"/>
    <col min="9" max="9" width="9.1640625" bestFit="1" customWidth="1"/>
    <col min="10" max="10" width="3.1640625" bestFit="1" customWidth="1"/>
    <col min="11" max="12" width="9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801</v>
      </c>
      <c r="B2" t="s">
        <v>934</v>
      </c>
      <c r="C2" s="29" t="s">
        <v>624</v>
      </c>
      <c r="D2" t="s">
        <v>625</v>
      </c>
      <c r="E2" t="s">
        <v>957</v>
      </c>
      <c r="F2" t="s">
        <v>958</v>
      </c>
      <c r="G2" t="s">
        <v>869</v>
      </c>
      <c r="H2" s="14" t="s">
        <v>203</v>
      </c>
      <c r="I2" s="23">
        <v>43584</v>
      </c>
      <c r="J2" s="27">
        <v>24</v>
      </c>
      <c r="K2" s="4">
        <v>42824</v>
      </c>
      <c r="L2" s="4">
        <v>43553</v>
      </c>
      <c r="M2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11"/>
  <dimension ref="A1:P16"/>
  <sheetViews>
    <sheetView workbookViewId="0"/>
  </sheetViews>
  <sheetFormatPr defaultRowHeight="12.75"/>
  <cols>
    <col min="1" max="1" width="24" bestFit="1" customWidth="1"/>
    <col min="2" max="2" width="12.33203125" bestFit="1" customWidth="1"/>
    <col min="3" max="3" width="15.6640625" bestFit="1" customWidth="1"/>
    <col min="4" max="4" width="41.5" bestFit="1" customWidth="1"/>
    <col min="5" max="5" width="9.1640625" bestFit="1" customWidth="1"/>
    <col min="6" max="6" width="31.1640625" bestFit="1" customWidth="1"/>
    <col min="7" max="7" width="12.5" bestFit="1" customWidth="1"/>
    <col min="8" max="8" width="10.1640625" bestFit="1" customWidth="1"/>
    <col min="9" max="9" width="9.1640625" bestFit="1" customWidth="1"/>
    <col min="10" max="10" width="3.1640625" bestFit="1" customWidth="1"/>
    <col min="11" max="12" width="9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805</v>
      </c>
      <c r="B2" t="s">
        <v>1505</v>
      </c>
      <c r="C2" s="29" t="s">
        <v>302</v>
      </c>
      <c r="D2" t="s">
        <v>303</v>
      </c>
      <c r="E2" t="s">
        <v>959</v>
      </c>
      <c r="F2" t="s">
        <v>960</v>
      </c>
      <c r="G2" t="s">
        <v>873</v>
      </c>
      <c r="H2" s="14" t="s">
        <v>304</v>
      </c>
      <c r="I2" s="14">
        <v>43745</v>
      </c>
      <c r="J2" s="27">
        <v>27</v>
      </c>
      <c r="K2" s="4">
        <v>43004</v>
      </c>
      <c r="L2" s="4">
        <v>43745</v>
      </c>
      <c r="M2" s="27">
        <v>24</v>
      </c>
    </row>
    <row r="3" spans="1:16">
      <c r="A3" t="s">
        <v>805</v>
      </c>
      <c r="B3" t="s">
        <v>1505</v>
      </c>
      <c r="C3" s="29" t="s">
        <v>305</v>
      </c>
      <c r="D3" t="s">
        <v>1504</v>
      </c>
      <c r="E3" t="s">
        <v>961</v>
      </c>
      <c r="F3" t="s">
        <v>962</v>
      </c>
      <c r="G3" t="s">
        <v>873</v>
      </c>
      <c r="H3" s="14" t="s">
        <v>306</v>
      </c>
      <c r="I3" s="23">
        <v>43745</v>
      </c>
      <c r="J3" s="27">
        <v>24</v>
      </c>
      <c r="K3" s="4">
        <v>42998</v>
      </c>
      <c r="L3" s="4">
        <v>43728</v>
      </c>
      <c r="M3" s="27">
        <v>24</v>
      </c>
    </row>
    <row r="4" spans="1:16">
      <c r="A4" t="s">
        <v>805</v>
      </c>
      <c r="B4" t="s">
        <v>1505</v>
      </c>
      <c r="C4" s="29" t="s">
        <v>307</v>
      </c>
      <c r="D4" t="s">
        <v>308</v>
      </c>
      <c r="E4" t="s">
        <v>963</v>
      </c>
      <c r="F4" t="s">
        <v>964</v>
      </c>
      <c r="G4" t="s">
        <v>873</v>
      </c>
      <c r="H4" s="14" t="s">
        <v>309</v>
      </c>
      <c r="I4" s="14">
        <v>43653</v>
      </c>
      <c r="J4" s="27">
        <v>24</v>
      </c>
      <c r="K4" s="4">
        <v>42915</v>
      </c>
      <c r="L4" s="4">
        <v>43653</v>
      </c>
      <c r="M4" s="27">
        <v>24</v>
      </c>
    </row>
    <row r="5" spans="1:16">
      <c r="A5" t="s">
        <v>805</v>
      </c>
      <c r="B5" t="s">
        <v>1505</v>
      </c>
      <c r="C5" s="29" t="s">
        <v>53</v>
      </c>
      <c r="D5" t="s">
        <v>54</v>
      </c>
      <c r="E5" t="s">
        <v>965</v>
      </c>
      <c r="F5" t="s">
        <v>966</v>
      </c>
      <c r="G5" t="s">
        <v>873</v>
      </c>
      <c r="H5" s="14" t="s">
        <v>55</v>
      </c>
      <c r="I5" s="14">
        <v>43195</v>
      </c>
      <c r="J5" s="27">
        <v>30</v>
      </c>
      <c r="K5" s="4">
        <v>42459</v>
      </c>
      <c r="L5" s="4">
        <v>43189</v>
      </c>
      <c r="M5" s="27">
        <v>24</v>
      </c>
    </row>
    <row r="6" spans="1:16">
      <c r="A6" t="s">
        <v>805</v>
      </c>
      <c r="B6" t="s">
        <v>1505</v>
      </c>
      <c r="C6" s="29" t="s">
        <v>56</v>
      </c>
      <c r="D6" t="s">
        <v>57</v>
      </c>
      <c r="E6" t="s">
        <v>967</v>
      </c>
      <c r="F6" t="s">
        <v>968</v>
      </c>
      <c r="G6" t="s">
        <v>873</v>
      </c>
      <c r="H6" s="14" t="s">
        <v>58</v>
      </c>
      <c r="I6" s="14">
        <v>43225</v>
      </c>
      <c r="J6" s="27">
        <v>30</v>
      </c>
      <c r="K6" s="4">
        <v>42122</v>
      </c>
      <c r="L6" s="6">
        <v>43225</v>
      </c>
      <c r="M6" s="27">
        <v>24</v>
      </c>
    </row>
    <row r="7" spans="1:16">
      <c r="A7" t="s">
        <v>805</v>
      </c>
      <c r="B7" t="s">
        <v>1505</v>
      </c>
      <c r="C7" s="29" t="s">
        <v>310</v>
      </c>
      <c r="D7" t="s">
        <v>311</v>
      </c>
      <c r="E7" t="s">
        <v>969</v>
      </c>
      <c r="F7" t="s">
        <v>970</v>
      </c>
      <c r="G7" t="s">
        <v>873</v>
      </c>
      <c r="H7" s="14" t="s">
        <v>61</v>
      </c>
      <c r="I7" s="14">
        <v>43108</v>
      </c>
      <c r="J7" s="27">
        <v>36</v>
      </c>
      <c r="K7" s="4">
        <v>42270</v>
      </c>
      <c r="L7" s="6">
        <v>43108</v>
      </c>
      <c r="M7" s="27">
        <v>24</v>
      </c>
    </row>
    <row r="8" spans="1:16">
      <c r="A8" t="s">
        <v>805</v>
      </c>
      <c r="B8" t="s">
        <v>1505</v>
      </c>
      <c r="C8" s="29" t="s">
        <v>59</v>
      </c>
      <c r="D8" t="s">
        <v>60</v>
      </c>
      <c r="E8" t="s">
        <v>971</v>
      </c>
      <c r="F8" t="s">
        <v>972</v>
      </c>
      <c r="G8" t="s">
        <v>873</v>
      </c>
      <c r="H8" s="14" t="s">
        <v>61</v>
      </c>
      <c r="I8" s="23">
        <v>43282</v>
      </c>
      <c r="J8" s="27">
        <v>26</v>
      </c>
      <c r="K8" s="4">
        <v>42156</v>
      </c>
      <c r="L8" s="4">
        <v>43252</v>
      </c>
      <c r="M8" s="27">
        <v>24</v>
      </c>
    </row>
    <row r="9" spans="1:16">
      <c r="A9" t="s">
        <v>805</v>
      </c>
      <c r="B9" t="s">
        <v>1505</v>
      </c>
      <c r="C9" s="29" t="s">
        <v>312</v>
      </c>
      <c r="D9" t="s">
        <v>313</v>
      </c>
      <c r="E9" t="s">
        <v>973</v>
      </c>
      <c r="F9" t="s">
        <v>974</v>
      </c>
      <c r="G9" t="s">
        <v>873</v>
      </c>
      <c r="H9" s="14" t="s">
        <v>314</v>
      </c>
      <c r="I9" s="14">
        <v>43141</v>
      </c>
      <c r="J9" s="27">
        <v>24</v>
      </c>
      <c r="K9" s="4">
        <v>42394</v>
      </c>
      <c r="L9" s="4">
        <v>43125</v>
      </c>
      <c r="M9" s="27">
        <v>24</v>
      </c>
    </row>
    <row r="10" spans="1:16">
      <c r="A10" t="s">
        <v>805</v>
      </c>
      <c r="B10" t="s">
        <v>1505</v>
      </c>
      <c r="C10" s="29" t="s">
        <v>62</v>
      </c>
      <c r="D10" t="s">
        <v>63</v>
      </c>
      <c r="E10" t="s">
        <v>975</v>
      </c>
      <c r="F10" t="s">
        <v>976</v>
      </c>
      <c r="G10" t="s">
        <v>873</v>
      </c>
      <c r="H10" s="14" t="s">
        <v>64</v>
      </c>
      <c r="I10" s="23">
        <v>44050</v>
      </c>
      <c r="J10" s="27">
        <v>12</v>
      </c>
      <c r="K10" s="4">
        <v>42947</v>
      </c>
      <c r="L10" s="4">
        <v>44050</v>
      </c>
      <c r="M10" s="27">
        <v>36</v>
      </c>
    </row>
    <row r="11" spans="1:16">
      <c r="A11" t="s">
        <v>805</v>
      </c>
      <c r="B11" t="s">
        <v>1505</v>
      </c>
      <c r="C11" s="29" t="s">
        <v>315</v>
      </c>
      <c r="D11" t="s">
        <v>316</v>
      </c>
      <c r="E11" t="s">
        <v>977</v>
      </c>
      <c r="F11" t="s">
        <v>978</v>
      </c>
      <c r="G11" t="s">
        <v>873</v>
      </c>
      <c r="H11" s="14" t="s">
        <v>317</v>
      </c>
      <c r="I11" s="23">
        <v>43560</v>
      </c>
      <c r="J11" s="27">
        <v>24</v>
      </c>
      <c r="K11" s="4">
        <v>42835</v>
      </c>
      <c r="L11" s="4">
        <v>43560</v>
      </c>
      <c r="M11" s="27">
        <v>24</v>
      </c>
    </row>
    <row r="12" spans="1:16">
      <c r="A12" t="s">
        <v>805</v>
      </c>
      <c r="B12" t="s">
        <v>1505</v>
      </c>
      <c r="C12" s="29" t="s">
        <v>318</v>
      </c>
      <c r="D12" t="s">
        <v>319</v>
      </c>
      <c r="E12" t="s">
        <v>979</v>
      </c>
      <c r="F12" t="s">
        <v>980</v>
      </c>
      <c r="G12" t="s">
        <v>873</v>
      </c>
      <c r="H12" s="14" t="s">
        <v>320</v>
      </c>
      <c r="I12" s="23">
        <v>43561</v>
      </c>
      <c r="J12" s="27">
        <v>24</v>
      </c>
      <c r="K12" s="4">
        <v>42825</v>
      </c>
      <c r="L12" s="4">
        <v>43561</v>
      </c>
      <c r="M12" s="27">
        <v>24</v>
      </c>
    </row>
    <row r="13" spans="1:16">
      <c r="A13" t="s">
        <v>805</v>
      </c>
      <c r="B13" t="s">
        <v>1505</v>
      </c>
      <c r="C13" s="29" t="s">
        <v>65</v>
      </c>
      <c r="D13" t="s">
        <v>66</v>
      </c>
      <c r="E13" t="s">
        <v>981</v>
      </c>
      <c r="F13" t="s">
        <v>982</v>
      </c>
      <c r="G13" t="s">
        <v>873</v>
      </c>
      <c r="H13" s="14" t="s">
        <v>67</v>
      </c>
      <c r="I13" s="23">
        <v>43590</v>
      </c>
      <c r="J13" s="27">
        <v>8</v>
      </c>
      <c r="K13" s="4">
        <v>42838</v>
      </c>
      <c r="L13" s="4">
        <v>43568</v>
      </c>
      <c r="M13" s="27">
        <v>24</v>
      </c>
    </row>
    <row r="14" spans="1:16">
      <c r="A14" t="s">
        <v>805</v>
      </c>
      <c r="B14" t="s">
        <v>934</v>
      </c>
      <c r="C14" s="29" t="s">
        <v>636</v>
      </c>
      <c r="D14" t="s">
        <v>637</v>
      </c>
      <c r="E14" t="s">
        <v>983</v>
      </c>
      <c r="F14" t="s">
        <v>984</v>
      </c>
      <c r="G14" t="s">
        <v>873</v>
      </c>
      <c r="H14" s="14" t="s">
        <v>350</v>
      </c>
      <c r="I14" s="14">
        <v>43111</v>
      </c>
      <c r="J14" s="27">
        <v>24</v>
      </c>
      <c r="K14" s="4">
        <v>42341</v>
      </c>
      <c r="L14" s="6">
        <v>43111</v>
      </c>
      <c r="M14" s="27">
        <v>24</v>
      </c>
    </row>
    <row r="15" spans="1:16">
      <c r="A15" t="s">
        <v>805</v>
      </c>
      <c r="B15" t="s">
        <v>934</v>
      </c>
      <c r="C15" s="29" t="s">
        <v>638</v>
      </c>
      <c r="D15" t="s">
        <v>639</v>
      </c>
      <c r="E15" t="s">
        <v>985</v>
      </c>
      <c r="F15" t="s">
        <v>986</v>
      </c>
      <c r="G15" t="s">
        <v>873</v>
      </c>
      <c r="H15" s="14" t="s">
        <v>640</v>
      </c>
      <c r="I15" s="14">
        <v>43119</v>
      </c>
      <c r="J15" s="27">
        <v>24</v>
      </c>
      <c r="K15" s="4">
        <v>42346</v>
      </c>
      <c r="L15" s="6">
        <v>43119</v>
      </c>
      <c r="M15" s="27">
        <v>24</v>
      </c>
    </row>
    <row r="16" spans="1:16">
      <c r="A16" t="s">
        <v>805</v>
      </c>
      <c r="B16" t="s">
        <v>934</v>
      </c>
      <c r="C16" s="29" t="s">
        <v>642</v>
      </c>
      <c r="D16" t="s">
        <v>643</v>
      </c>
      <c r="E16" t="s">
        <v>987</v>
      </c>
      <c r="F16" t="s">
        <v>988</v>
      </c>
      <c r="G16" t="s">
        <v>873</v>
      </c>
      <c r="H16" s="14" t="s">
        <v>287</v>
      </c>
      <c r="I16" s="14">
        <v>43286</v>
      </c>
      <c r="J16" s="27">
        <v>24</v>
      </c>
      <c r="K16" s="4">
        <v>42542</v>
      </c>
      <c r="L16" s="4">
        <v>43272</v>
      </c>
      <c r="M16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12"/>
  <dimension ref="A1:P3"/>
  <sheetViews>
    <sheetView workbookViewId="0"/>
  </sheetViews>
  <sheetFormatPr defaultRowHeight="12.75"/>
  <cols>
    <col min="1" max="1" width="25.5" bestFit="1" customWidth="1"/>
    <col min="2" max="2" width="12.33203125" bestFit="1" customWidth="1"/>
    <col min="3" max="3" width="15.6640625" bestFit="1" customWidth="1"/>
    <col min="4" max="4" width="38.6640625" bestFit="1" customWidth="1"/>
    <col min="5" max="5" width="9.1640625" bestFit="1" customWidth="1"/>
    <col min="6" max="6" width="22.33203125" bestFit="1" customWidth="1"/>
    <col min="7" max="7" width="14.6640625" bestFit="1" customWidth="1"/>
    <col min="8" max="8" width="10.1640625" bestFit="1" customWidth="1"/>
    <col min="9" max="9" width="9.1640625" bestFit="1" customWidth="1"/>
    <col min="10" max="10" width="3.1640625" bestFit="1" customWidth="1"/>
    <col min="11" max="12" width="9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773</v>
      </c>
      <c r="B2" t="s">
        <v>1505</v>
      </c>
      <c r="C2" s="29" t="s">
        <v>181</v>
      </c>
      <c r="D2" t="s">
        <v>182</v>
      </c>
      <c r="E2" t="s">
        <v>989</v>
      </c>
      <c r="F2" t="s">
        <v>990</v>
      </c>
      <c r="G2" t="s">
        <v>841</v>
      </c>
      <c r="H2" s="14" t="s">
        <v>183</v>
      </c>
      <c r="I2" s="23">
        <v>43370</v>
      </c>
      <c r="J2" s="27">
        <v>24</v>
      </c>
      <c r="K2" s="4">
        <v>42604</v>
      </c>
      <c r="L2" s="4">
        <v>43333</v>
      </c>
      <c r="M2" s="27">
        <v>24</v>
      </c>
    </row>
    <row r="3" spans="1:16">
      <c r="A3" t="s">
        <v>773</v>
      </c>
      <c r="B3" t="s">
        <v>934</v>
      </c>
      <c r="C3" s="29" t="s">
        <v>531</v>
      </c>
      <c r="D3" t="s">
        <v>532</v>
      </c>
      <c r="E3" t="s">
        <v>991</v>
      </c>
      <c r="F3" t="s">
        <v>992</v>
      </c>
      <c r="G3" t="s">
        <v>841</v>
      </c>
      <c r="H3" s="14" t="s">
        <v>533</v>
      </c>
      <c r="I3" s="14">
        <v>43194</v>
      </c>
      <c r="J3" s="27">
        <v>24</v>
      </c>
      <c r="K3" s="4">
        <v>42401</v>
      </c>
      <c r="L3" s="4">
        <v>43131</v>
      </c>
      <c r="M3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13"/>
  <dimension ref="A1:P10"/>
  <sheetViews>
    <sheetView workbookViewId="0"/>
  </sheetViews>
  <sheetFormatPr defaultRowHeight="12.75"/>
  <cols>
    <col min="1" max="1" width="23.83203125" bestFit="1" customWidth="1"/>
    <col min="2" max="2" width="12.33203125" bestFit="1" customWidth="1"/>
    <col min="3" max="3" width="15.6640625" bestFit="1" customWidth="1"/>
    <col min="4" max="4" width="36.6640625" bestFit="1" customWidth="1"/>
    <col min="5" max="5" width="9.1640625" bestFit="1" customWidth="1"/>
    <col min="6" max="6" width="24.1640625" bestFit="1" customWidth="1"/>
    <col min="7" max="7" width="12" bestFit="1" customWidth="1"/>
    <col min="8" max="9" width="10.1640625" bestFit="1" customWidth="1"/>
    <col min="10" max="10" width="3.1640625" bestFit="1" customWidth="1"/>
    <col min="11" max="11" width="9.1640625" bestFit="1" customWidth="1"/>
    <col min="12" max="12" width="10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818</v>
      </c>
      <c r="B2" t="s">
        <v>1505</v>
      </c>
      <c r="C2" s="29" t="s">
        <v>404</v>
      </c>
      <c r="D2" t="s">
        <v>405</v>
      </c>
      <c r="E2" t="s">
        <v>993</v>
      </c>
      <c r="F2" t="s">
        <v>994</v>
      </c>
      <c r="G2" t="s">
        <v>886</v>
      </c>
      <c r="H2" s="14" t="s">
        <v>406</v>
      </c>
      <c r="I2" s="14">
        <v>43272</v>
      </c>
      <c r="J2" s="27">
        <v>24</v>
      </c>
      <c r="K2" s="4">
        <v>42917</v>
      </c>
      <c r="L2" s="4">
        <v>43646</v>
      </c>
      <c r="M2" s="27">
        <v>24</v>
      </c>
    </row>
    <row r="3" spans="1:16" ht="13.5" thickBot="1">
      <c r="A3" t="s">
        <v>818</v>
      </c>
      <c r="B3" t="s">
        <v>934</v>
      </c>
      <c r="C3" s="29" t="s">
        <v>689</v>
      </c>
      <c r="D3" t="s">
        <v>690</v>
      </c>
      <c r="E3" t="s">
        <v>995</v>
      </c>
      <c r="F3" t="s">
        <v>996</v>
      </c>
      <c r="G3" t="s">
        <v>886</v>
      </c>
      <c r="H3" s="14" t="s">
        <v>691</v>
      </c>
      <c r="I3" s="14">
        <v>43165</v>
      </c>
      <c r="J3" s="27">
        <v>24</v>
      </c>
      <c r="K3" s="4">
        <v>42802</v>
      </c>
      <c r="L3" s="4">
        <v>43531</v>
      </c>
      <c r="M3" s="27">
        <v>24</v>
      </c>
    </row>
    <row r="4" spans="1:16" ht="13.5" thickBot="1">
      <c r="A4" t="s">
        <v>818</v>
      </c>
      <c r="B4" t="s">
        <v>934</v>
      </c>
      <c r="C4" s="29" t="s">
        <v>692</v>
      </c>
      <c r="D4" t="s">
        <v>693</v>
      </c>
      <c r="E4" t="s">
        <v>997</v>
      </c>
      <c r="F4" t="s">
        <v>998</v>
      </c>
      <c r="G4" t="s">
        <v>886</v>
      </c>
      <c r="H4" s="14" t="s">
        <v>694</v>
      </c>
      <c r="I4" s="14">
        <v>43210</v>
      </c>
      <c r="J4" s="27">
        <v>24</v>
      </c>
      <c r="K4" s="4">
        <v>42846</v>
      </c>
      <c r="L4" s="7">
        <v>43575</v>
      </c>
      <c r="M4" s="27">
        <v>24</v>
      </c>
    </row>
    <row r="5" spans="1:16" ht="13.5" thickBot="1">
      <c r="A5" t="s">
        <v>818</v>
      </c>
      <c r="B5" t="s">
        <v>934</v>
      </c>
      <c r="C5" s="29" t="s">
        <v>695</v>
      </c>
      <c r="D5" t="s">
        <v>696</v>
      </c>
      <c r="E5" t="s">
        <v>999</v>
      </c>
      <c r="F5" t="s">
        <v>1000</v>
      </c>
      <c r="G5" t="s">
        <v>886</v>
      </c>
      <c r="H5" s="14" t="s">
        <v>406</v>
      </c>
      <c r="I5" s="14">
        <v>43272</v>
      </c>
      <c r="J5" s="27">
        <v>24</v>
      </c>
      <c r="K5" s="4">
        <v>42573</v>
      </c>
      <c r="L5" s="7">
        <v>43302</v>
      </c>
      <c r="M5" s="27">
        <v>24</v>
      </c>
    </row>
    <row r="6" spans="1:16">
      <c r="A6" t="s">
        <v>818</v>
      </c>
      <c r="B6" t="s">
        <v>934</v>
      </c>
      <c r="C6" s="29" t="s">
        <v>697</v>
      </c>
      <c r="D6" t="s">
        <v>698</v>
      </c>
      <c r="E6" t="s">
        <v>1001</v>
      </c>
      <c r="F6" t="s">
        <v>1002</v>
      </c>
      <c r="G6" t="s">
        <v>886</v>
      </c>
      <c r="H6" s="14" t="s">
        <v>140</v>
      </c>
      <c r="I6" s="14">
        <v>43281</v>
      </c>
      <c r="J6" s="27">
        <v>24</v>
      </c>
      <c r="K6" s="4">
        <v>42917</v>
      </c>
      <c r="L6" s="4">
        <v>43646</v>
      </c>
      <c r="M6" s="27">
        <v>24</v>
      </c>
    </row>
    <row r="7" spans="1:16">
      <c r="A7" t="s">
        <v>818</v>
      </c>
      <c r="B7" t="s">
        <v>934</v>
      </c>
      <c r="C7" s="29" t="s">
        <v>699</v>
      </c>
      <c r="D7" t="s">
        <v>700</v>
      </c>
      <c r="E7" t="s">
        <v>1003</v>
      </c>
      <c r="F7" t="s">
        <v>1004</v>
      </c>
      <c r="G7" t="s">
        <v>886</v>
      </c>
      <c r="H7" s="14" t="s">
        <v>564</v>
      </c>
      <c r="I7" s="14">
        <v>43373</v>
      </c>
      <c r="J7" s="27">
        <v>24</v>
      </c>
      <c r="K7" s="4">
        <v>43009</v>
      </c>
      <c r="L7" s="4">
        <v>43738</v>
      </c>
      <c r="M7" s="27">
        <v>24</v>
      </c>
    </row>
    <row r="8" spans="1:16">
      <c r="A8" t="s">
        <v>818</v>
      </c>
      <c r="B8" t="s">
        <v>934</v>
      </c>
      <c r="C8" s="29" t="s">
        <v>701</v>
      </c>
      <c r="D8" t="s">
        <v>702</v>
      </c>
      <c r="E8" t="s">
        <v>1005</v>
      </c>
      <c r="F8" t="s">
        <v>1006</v>
      </c>
      <c r="G8" t="s">
        <v>886</v>
      </c>
      <c r="H8" s="14" t="s">
        <v>67</v>
      </c>
      <c r="I8" s="14">
        <v>43433</v>
      </c>
      <c r="J8" s="27">
        <v>24</v>
      </c>
      <c r="K8" s="4">
        <v>43070</v>
      </c>
      <c r="L8" s="4">
        <v>43799</v>
      </c>
      <c r="M8" s="27">
        <v>24</v>
      </c>
    </row>
    <row r="9" spans="1:16">
      <c r="A9" t="s">
        <v>818</v>
      </c>
      <c r="B9" t="s">
        <v>934</v>
      </c>
      <c r="C9" s="29" t="s">
        <v>703</v>
      </c>
      <c r="D9" t="s">
        <v>704</v>
      </c>
      <c r="E9" t="s">
        <v>1007</v>
      </c>
      <c r="F9" t="s">
        <v>1008</v>
      </c>
      <c r="G9" t="s">
        <v>886</v>
      </c>
      <c r="H9" s="14" t="s">
        <v>705</v>
      </c>
      <c r="I9" s="14">
        <v>43103</v>
      </c>
      <c r="J9" s="27">
        <v>12</v>
      </c>
      <c r="K9" s="4">
        <v>42856</v>
      </c>
      <c r="L9" s="4">
        <v>43585</v>
      </c>
      <c r="M9" s="27">
        <v>12</v>
      </c>
    </row>
    <row r="10" spans="1:16">
      <c r="A10" t="s">
        <v>818</v>
      </c>
      <c r="B10" t="s">
        <v>934</v>
      </c>
      <c r="C10" s="29" t="s">
        <v>706</v>
      </c>
      <c r="D10" t="s">
        <v>707</v>
      </c>
      <c r="E10" t="s">
        <v>1009</v>
      </c>
      <c r="F10" t="s">
        <v>1010</v>
      </c>
      <c r="G10" t="s">
        <v>886</v>
      </c>
      <c r="H10" s="14" t="s">
        <v>708</v>
      </c>
      <c r="I10" s="14">
        <v>43715</v>
      </c>
      <c r="J10" s="27">
        <v>24</v>
      </c>
      <c r="K10" s="4">
        <v>43009</v>
      </c>
      <c r="L10" s="4">
        <v>43715</v>
      </c>
      <c r="M10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14"/>
  <dimension ref="A1:P3"/>
  <sheetViews>
    <sheetView workbookViewId="0"/>
  </sheetViews>
  <sheetFormatPr defaultRowHeight="12.75"/>
  <cols>
    <col min="1" max="1" width="26.1640625" bestFit="1" customWidth="1"/>
    <col min="2" max="2" width="12.33203125" bestFit="1" customWidth="1"/>
    <col min="3" max="3" width="15.6640625" bestFit="1" customWidth="1"/>
    <col min="4" max="4" width="30.6640625" bestFit="1" customWidth="1"/>
    <col min="5" max="5" width="9.1640625" bestFit="1" customWidth="1"/>
    <col min="6" max="6" width="18" bestFit="1" customWidth="1"/>
    <col min="7" max="7" width="14.83203125" bestFit="1" customWidth="1"/>
    <col min="8" max="8" width="10.1640625" bestFit="1" customWidth="1"/>
    <col min="9" max="9" width="9.1640625" bestFit="1" customWidth="1"/>
    <col min="10" max="10" width="3.1640625" bestFit="1" customWidth="1"/>
    <col min="11" max="11" width="8.1640625" bestFit="1" customWidth="1"/>
    <col min="12" max="12" width="9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802</v>
      </c>
      <c r="B2" t="s">
        <v>1505</v>
      </c>
      <c r="C2" s="29" t="s">
        <v>288</v>
      </c>
      <c r="D2" t="s">
        <v>289</v>
      </c>
      <c r="E2" t="s">
        <v>1011</v>
      </c>
      <c r="F2" t="s">
        <v>1012</v>
      </c>
      <c r="G2" t="s">
        <v>870</v>
      </c>
      <c r="H2" s="14" t="s">
        <v>266</v>
      </c>
      <c r="I2" s="23">
        <v>43251</v>
      </c>
      <c r="J2" s="27">
        <v>24</v>
      </c>
      <c r="K2" s="4">
        <v>42552</v>
      </c>
      <c r="L2" s="4">
        <v>43281</v>
      </c>
      <c r="M2" s="27">
        <v>24</v>
      </c>
    </row>
    <row r="3" spans="1:16">
      <c r="A3" t="s">
        <v>802</v>
      </c>
      <c r="B3" t="s">
        <v>934</v>
      </c>
      <c r="C3" s="29" t="s">
        <v>626</v>
      </c>
      <c r="D3" t="s">
        <v>627</v>
      </c>
      <c r="E3" t="s">
        <v>1013</v>
      </c>
      <c r="F3" t="s">
        <v>1014</v>
      </c>
      <c r="G3" t="s">
        <v>870</v>
      </c>
      <c r="H3" s="14" t="s">
        <v>133</v>
      </c>
      <c r="I3" s="23">
        <v>43496</v>
      </c>
      <c r="J3" s="27">
        <v>24</v>
      </c>
      <c r="K3" s="4">
        <v>42401</v>
      </c>
      <c r="L3" s="4">
        <v>43131</v>
      </c>
      <c r="M3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15"/>
  <dimension ref="A1:P6"/>
  <sheetViews>
    <sheetView workbookViewId="0"/>
  </sheetViews>
  <sheetFormatPr defaultRowHeight="12.75"/>
  <cols>
    <col min="1" max="1" width="23.83203125" bestFit="1" customWidth="1"/>
    <col min="2" max="2" width="12.33203125" bestFit="1" customWidth="1"/>
    <col min="3" max="3" width="15.6640625" bestFit="1" customWidth="1"/>
    <col min="4" max="4" width="40" bestFit="1" customWidth="1"/>
    <col min="5" max="5" width="9.1640625" bestFit="1" customWidth="1"/>
    <col min="6" max="6" width="28" bestFit="1" customWidth="1"/>
    <col min="7" max="7" width="12.83203125" bestFit="1" customWidth="1"/>
    <col min="8" max="9" width="10.1640625" bestFit="1" customWidth="1"/>
    <col min="10" max="10" width="3.1640625" bestFit="1" customWidth="1"/>
    <col min="11" max="11" width="9.1640625" bestFit="1" customWidth="1"/>
    <col min="12" max="12" width="10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768</v>
      </c>
      <c r="B2" t="s">
        <v>1505</v>
      </c>
      <c r="C2" s="29" t="s">
        <v>116</v>
      </c>
      <c r="D2" t="s">
        <v>117</v>
      </c>
      <c r="E2" t="s">
        <v>1015</v>
      </c>
      <c r="F2" t="s">
        <v>1016</v>
      </c>
      <c r="G2" t="s">
        <v>836</v>
      </c>
      <c r="H2" s="14" t="s">
        <v>118</v>
      </c>
      <c r="I2" s="14">
        <v>43434</v>
      </c>
      <c r="J2" s="27">
        <v>24</v>
      </c>
      <c r="K2" s="4">
        <v>42370</v>
      </c>
      <c r="L2" s="6">
        <v>43434</v>
      </c>
      <c r="M2" s="27">
        <v>24</v>
      </c>
    </row>
    <row r="3" spans="1:16">
      <c r="A3" t="s">
        <v>768</v>
      </c>
      <c r="B3" t="s">
        <v>934</v>
      </c>
      <c r="C3" s="29" t="s">
        <v>511</v>
      </c>
      <c r="D3" t="s">
        <v>512</v>
      </c>
      <c r="E3" t="s">
        <v>1017</v>
      </c>
      <c r="F3" t="s">
        <v>1018</v>
      </c>
      <c r="G3" t="s">
        <v>836</v>
      </c>
      <c r="H3" s="14" t="s">
        <v>513</v>
      </c>
      <c r="I3" s="14">
        <v>43152</v>
      </c>
      <c r="J3" s="27">
        <v>24</v>
      </c>
      <c r="K3" s="4">
        <v>42430</v>
      </c>
      <c r="L3" s="4">
        <v>43152</v>
      </c>
      <c r="M3" s="27">
        <v>24</v>
      </c>
    </row>
    <row r="4" spans="1:16">
      <c r="A4" t="s">
        <v>768</v>
      </c>
      <c r="B4" t="s">
        <v>934</v>
      </c>
      <c r="C4" s="29" t="s">
        <v>514</v>
      </c>
      <c r="D4" t="s">
        <v>515</v>
      </c>
      <c r="E4" t="s">
        <v>1019</v>
      </c>
      <c r="F4" t="s">
        <v>1020</v>
      </c>
      <c r="G4" t="s">
        <v>836</v>
      </c>
      <c r="H4" s="14" t="s">
        <v>341</v>
      </c>
      <c r="I4" s="14">
        <v>43265</v>
      </c>
      <c r="J4" s="27">
        <v>24</v>
      </c>
      <c r="K4" s="4">
        <v>42552</v>
      </c>
      <c r="L4" s="4">
        <v>43265</v>
      </c>
      <c r="M4" s="27">
        <v>24</v>
      </c>
    </row>
    <row r="5" spans="1:16">
      <c r="A5" t="s">
        <v>768</v>
      </c>
      <c r="B5" t="s">
        <v>934</v>
      </c>
      <c r="C5" s="29" t="s">
        <v>516</v>
      </c>
      <c r="D5" t="s">
        <v>517</v>
      </c>
      <c r="E5" t="s">
        <v>1021</v>
      </c>
      <c r="F5" t="s">
        <v>1022</v>
      </c>
      <c r="G5" t="s">
        <v>836</v>
      </c>
      <c r="H5" s="14" t="s">
        <v>518</v>
      </c>
      <c r="I5" s="23">
        <v>43385</v>
      </c>
      <c r="J5" s="27">
        <v>24</v>
      </c>
      <c r="K5" s="4">
        <v>42675</v>
      </c>
      <c r="L5" s="4">
        <v>43385</v>
      </c>
      <c r="M5" s="27">
        <v>24</v>
      </c>
    </row>
    <row r="6" spans="1:16">
      <c r="A6" t="s">
        <v>768</v>
      </c>
      <c r="B6" t="s">
        <v>934</v>
      </c>
      <c r="C6" s="29" t="s">
        <v>519</v>
      </c>
      <c r="D6" t="s">
        <v>520</v>
      </c>
      <c r="E6" t="s">
        <v>1023</v>
      </c>
      <c r="F6" t="s">
        <v>1024</v>
      </c>
      <c r="G6" t="s">
        <v>836</v>
      </c>
      <c r="H6" s="14" t="s">
        <v>521</v>
      </c>
      <c r="I6" s="23">
        <v>43646</v>
      </c>
      <c r="J6" s="27">
        <v>24</v>
      </c>
      <c r="K6" s="4">
        <v>42948</v>
      </c>
      <c r="L6" s="4">
        <v>43677</v>
      </c>
      <c r="M6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16"/>
  <dimension ref="A1:P7"/>
  <sheetViews>
    <sheetView workbookViewId="0"/>
  </sheetViews>
  <sheetFormatPr defaultRowHeight="12.75"/>
  <cols>
    <col min="1" max="1" width="22.1640625" bestFit="1" customWidth="1"/>
    <col min="2" max="2" width="12.33203125" bestFit="1" customWidth="1"/>
    <col min="3" max="3" width="15.6640625" bestFit="1" customWidth="1"/>
    <col min="4" max="4" width="51.5" bestFit="1" customWidth="1"/>
    <col min="5" max="5" width="9.1640625" bestFit="1" customWidth="1"/>
    <col min="6" max="6" width="35.1640625" bestFit="1" customWidth="1"/>
    <col min="7" max="7" width="11.1640625" bestFit="1" customWidth="1"/>
    <col min="8" max="9" width="10.1640625" bestFit="1" customWidth="1"/>
    <col min="10" max="10" width="3.1640625" bestFit="1" customWidth="1"/>
    <col min="11" max="11" width="9.1640625" bestFit="1" customWidth="1"/>
    <col min="12" max="12" width="10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816</v>
      </c>
      <c r="B2" t="s">
        <v>1505</v>
      </c>
      <c r="C2" s="29" t="s">
        <v>383</v>
      </c>
      <c r="D2" t="s">
        <v>384</v>
      </c>
      <c r="E2" t="s">
        <v>1025</v>
      </c>
      <c r="F2" t="s">
        <v>1026</v>
      </c>
      <c r="G2" t="s">
        <v>884</v>
      </c>
      <c r="H2" s="14" t="s">
        <v>385</v>
      </c>
      <c r="I2" s="14">
        <v>43280</v>
      </c>
      <c r="J2" s="27">
        <v>36</v>
      </c>
      <c r="K2" s="4">
        <v>41852</v>
      </c>
      <c r="L2" s="6">
        <v>43280</v>
      </c>
      <c r="M2" s="27">
        <v>36</v>
      </c>
    </row>
    <row r="3" spans="1:16">
      <c r="A3" t="s">
        <v>816</v>
      </c>
      <c r="B3" t="s">
        <v>1505</v>
      </c>
      <c r="C3" s="29" t="s">
        <v>389</v>
      </c>
      <c r="D3" t="s">
        <v>390</v>
      </c>
      <c r="E3" t="s">
        <v>1027</v>
      </c>
      <c r="F3" t="s">
        <v>1028</v>
      </c>
      <c r="G3" t="s">
        <v>884</v>
      </c>
      <c r="H3" s="14" t="s">
        <v>391</v>
      </c>
      <c r="I3" s="23">
        <v>43100</v>
      </c>
      <c r="J3" s="27">
        <v>24</v>
      </c>
      <c r="K3" s="4">
        <v>42491</v>
      </c>
      <c r="L3" s="4">
        <v>43220</v>
      </c>
      <c r="M3" s="27">
        <v>24</v>
      </c>
    </row>
    <row r="4" spans="1:16">
      <c r="A4" t="s">
        <v>816</v>
      </c>
      <c r="B4" t="s">
        <v>1505</v>
      </c>
      <c r="C4" s="29" t="s">
        <v>386</v>
      </c>
      <c r="D4" t="s">
        <v>387</v>
      </c>
      <c r="E4" t="s">
        <v>1029</v>
      </c>
      <c r="F4" t="s">
        <v>1030</v>
      </c>
      <c r="G4" t="s">
        <v>884</v>
      </c>
      <c r="H4" s="14" t="s">
        <v>388</v>
      </c>
      <c r="I4" s="23">
        <v>43281</v>
      </c>
      <c r="J4" s="27">
        <v>24</v>
      </c>
      <c r="K4" s="4">
        <v>41426</v>
      </c>
      <c r="L4" s="4">
        <v>43281</v>
      </c>
      <c r="M4" s="27">
        <v>24</v>
      </c>
    </row>
    <row r="5" spans="1:16">
      <c r="A5" t="s">
        <v>816</v>
      </c>
      <c r="B5" t="s">
        <v>1505</v>
      </c>
      <c r="C5" s="29" t="s">
        <v>80</v>
      </c>
      <c r="D5" t="s">
        <v>81</v>
      </c>
      <c r="E5" t="s">
        <v>1031</v>
      </c>
      <c r="F5" t="s">
        <v>1032</v>
      </c>
      <c r="G5" t="s">
        <v>884</v>
      </c>
      <c r="H5" s="14" t="s">
        <v>82</v>
      </c>
      <c r="I5" s="23">
        <v>43173</v>
      </c>
      <c r="J5" s="27">
        <v>24</v>
      </c>
      <c r="K5" s="4">
        <v>42064</v>
      </c>
      <c r="L5" s="4">
        <v>43159</v>
      </c>
      <c r="M5" s="27">
        <v>36</v>
      </c>
    </row>
    <row r="6" spans="1:16">
      <c r="A6" t="s">
        <v>816</v>
      </c>
      <c r="B6" t="s">
        <v>1505</v>
      </c>
      <c r="C6" s="29" t="s">
        <v>77</v>
      </c>
      <c r="D6" t="s">
        <v>78</v>
      </c>
      <c r="E6" t="s">
        <v>1033</v>
      </c>
      <c r="F6" t="s">
        <v>1034</v>
      </c>
      <c r="G6" t="s">
        <v>884</v>
      </c>
      <c r="H6" s="14" t="s">
        <v>79</v>
      </c>
      <c r="I6" s="14">
        <v>43397</v>
      </c>
      <c r="J6" s="27">
        <v>3</v>
      </c>
      <c r="K6" s="4">
        <v>42278</v>
      </c>
      <c r="L6" s="6">
        <v>43397</v>
      </c>
      <c r="M6" s="27">
        <v>24</v>
      </c>
    </row>
    <row r="7" spans="1:16">
      <c r="A7" t="s">
        <v>816</v>
      </c>
      <c r="B7" t="s">
        <v>934</v>
      </c>
      <c r="C7" s="29" t="s">
        <v>499</v>
      </c>
      <c r="D7" t="s">
        <v>500</v>
      </c>
      <c r="E7" t="s">
        <v>1035</v>
      </c>
      <c r="F7" t="s">
        <v>1036</v>
      </c>
      <c r="G7" t="s">
        <v>884</v>
      </c>
      <c r="H7" s="14" t="s">
        <v>501</v>
      </c>
      <c r="I7" s="23">
        <v>43373</v>
      </c>
      <c r="J7" s="27">
        <v>36</v>
      </c>
      <c r="K7" s="4">
        <v>42522</v>
      </c>
      <c r="L7" s="4">
        <v>43982</v>
      </c>
      <c r="M7" s="27">
        <v>48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17"/>
  <dimension ref="A1:P4"/>
  <sheetViews>
    <sheetView workbookViewId="0"/>
  </sheetViews>
  <sheetFormatPr defaultRowHeight="12.75"/>
  <cols>
    <col min="1" max="1" width="20.6640625" bestFit="1" customWidth="1"/>
    <col min="2" max="2" width="12.33203125" bestFit="1" customWidth="1"/>
    <col min="3" max="3" width="15.6640625" bestFit="1" customWidth="1"/>
    <col min="4" max="4" width="47.6640625" bestFit="1" customWidth="1"/>
    <col min="5" max="5" width="9.1640625" bestFit="1" customWidth="1"/>
    <col min="6" max="6" width="31.33203125" bestFit="1" customWidth="1"/>
    <col min="7" max="7" width="9.83203125" bestFit="1" customWidth="1"/>
    <col min="8" max="9" width="10.1640625" bestFit="1" customWidth="1"/>
    <col min="10" max="10" width="3.1640625" bestFit="1" customWidth="1"/>
    <col min="11" max="11" width="9.1640625" bestFit="1" customWidth="1"/>
    <col min="12" max="12" width="10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784</v>
      </c>
      <c r="B2" t="s">
        <v>1505</v>
      </c>
      <c r="C2" s="29" t="s">
        <v>240</v>
      </c>
      <c r="D2" t="s">
        <v>241</v>
      </c>
      <c r="E2" t="s">
        <v>1037</v>
      </c>
      <c r="F2" t="s">
        <v>1038</v>
      </c>
      <c r="G2" t="s">
        <v>852</v>
      </c>
      <c r="H2" s="14" t="s">
        <v>242</v>
      </c>
      <c r="I2" s="23">
        <v>43708</v>
      </c>
      <c r="J2" s="27">
        <v>24</v>
      </c>
      <c r="K2" s="4">
        <v>42978</v>
      </c>
      <c r="L2" s="4">
        <v>43708</v>
      </c>
      <c r="M2" s="27">
        <v>24</v>
      </c>
    </row>
    <row r="3" spans="1:16">
      <c r="A3" t="s">
        <v>784</v>
      </c>
      <c r="B3" t="s">
        <v>1505</v>
      </c>
      <c r="C3" s="29" t="s">
        <v>237</v>
      </c>
      <c r="D3" t="s">
        <v>238</v>
      </c>
      <c r="E3" t="s">
        <v>1039</v>
      </c>
      <c r="F3" t="s">
        <v>1040</v>
      </c>
      <c r="G3" t="s">
        <v>852</v>
      </c>
      <c r="H3" s="14" t="s">
        <v>239</v>
      </c>
      <c r="I3" s="14">
        <v>43738</v>
      </c>
      <c r="J3" s="27">
        <v>24</v>
      </c>
      <c r="K3" s="4">
        <v>43009</v>
      </c>
      <c r="L3" s="4">
        <v>43738</v>
      </c>
      <c r="M3" s="27">
        <v>24</v>
      </c>
    </row>
    <row r="4" spans="1:16">
      <c r="A4" t="s">
        <v>784</v>
      </c>
      <c r="B4" t="s">
        <v>1505</v>
      </c>
      <c r="C4" s="9" t="s">
        <v>243</v>
      </c>
      <c r="D4" s="9" t="s">
        <v>244</v>
      </c>
      <c r="E4" t="s">
        <v>1041</v>
      </c>
      <c r="F4" t="s">
        <v>1042</v>
      </c>
      <c r="G4" t="s">
        <v>852</v>
      </c>
      <c r="H4" s="14" t="s">
        <v>245</v>
      </c>
      <c r="I4" s="23">
        <v>43434</v>
      </c>
      <c r="J4" s="27">
        <v>24</v>
      </c>
      <c r="K4" s="4">
        <v>42705</v>
      </c>
      <c r="L4" s="4">
        <v>43434</v>
      </c>
      <c r="M4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18"/>
  <dimension ref="A1:P3"/>
  <sheetViews>
    <sheetView workbookViewId="0"/>
  </sheetViews>
  <sheetFormatPr defaultRowHeight="12.75"/>
  <cols>
    <col min="1" max="1" width="28.83203125" bestFit="1" customWidth="1"/>
    <col min="2" max="2" width="8.83203125" bestFit="1" customWidth="1"/>
    <col min="3" max="3" width="15.6640625" bestFit="1" customWidth="1"/>
    <col min="4" max="4" width="32.6640625" bestFit="1" customWidth="1"/>
    <col min="5" max="5" width="9.1640625" bestFit="1" customWidth="1"/>
    <col min="6" max="6" width="26" bestFit="1" customWidth="1"/>
    <col min="7" max="7" width="18" bestFit="1" customWidth="1"/>
    <col min="8" max="8" width="10.1640625" bestFit="1" customWidth="1"/>
    <col min="9" max="9" width="9.1640625" bestFit="1" customWidth="1"/>
    <col min="10" max="10" width="3.1640625" bestFit="1" customWidth="1"/>
    <col min="11" max="12" width="10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776</v>
      </c>
      <c r="B2" t="s">
        <v>934</v>
      </c>
      <c r="C2" s="29" t="s">
        <v>537</v>
      </c>
      <c r="D2" t="s">
        <v>538</v>
      </c>
      <c r="E2" t="s">
        <v>1043</v>
      </c>
      <c r="F2" t="s">
        <v>1044</v>
      </c>
      <c r="G2" t="s">
        <v>844</v>
      </c>
      <c r="H2" s="14" t="s">
        <v>284</v>
      </c>
      <c r="I2" s="23">
        <v>43343</v>
      </c>
      <c r="J2" s="27">
        <v>24</v>
      </c>
      <c r="K2" s="4">
        <v>42613</v>
      </c>
      <c r="L2" s="4">
        <v>43343</v>
      </c>
      <c r="M2" s="27">
        <v>24</v>
      </c>
    </row>
    <row r="3" spans="1:16">
      <c r="A3" t="s">
        <v>776</v>
      </c>
      <c r="B3" t="s">
        <v>934</v>
      </c>
      <c r="C3" s="29" t="s">
        <v>485</v>
      </c>
      <c r="D3" t="s">
        <v>486</v>
      </c>
      <c r="E3" t="s">
        <v>1045</v>
      </c>
      <c r="F3" t="s">
        <v>1046</v>
      </c>
      <c r="G3" t="s">
        <v>844</v>
      </c>
      <c r="H3" s="14" t="s">
        <v>180</v>
      </c>
      <c r="I3" s="23">
        <v>43312</v>
      </c>
      <c r="J3" s="27">
        <v>12</v>
      </c>
      <c r="K3" s="4">
        <v>42369</v>
      </c>
      <c r="L3" s="4">
        <v>43099</v>
      </c>
      <c r="M3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19"/>
  <dimension ref="A1:P2"/>
  <sheetViews>
    <sheetView workbookViewId="0"/>
  </sheetViews>
  <sheetFormatPr defaultRowHeight="12.75"/>
  <cols>
    <col min="1" max="1" width="22.5" bestFit="1" customWidth="1"/>
    <col min="2" max="2" width="8.83203125" bestFit="1" customWidth="1"/>
    <col min="3" max="3" width="15.6640625" bestFit="1" customWidth="1"/>
    <col min="4" max="4" width="21.1640625" bestFit="1" customWidth="1"/>
    <col min="5" max="5" width="9.1640625" bestFit="1" customWidth="1"/>
    <col min="7" max="7" width="11" bestFit="1" customWidth="1"/>
    <col min="8" max="9" width="10.1640625" bestFit="1" customWidth="1"/>
    <col min="10" max="10" width="3.1640625" bestFit="1" customWidth="1"/>
    <col min="11" max="12" width="8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803</v>
      </c>
      <c r="B2" t="s">
        <v>934</v>
      </c>
      <c r="C2" s="29" t="s">
        <v>628</v>
      </c>
      <c r="D2" t="s">
        <v>629</v>
      </c>
      <c r="E2" t="s">
        <v>1047</v>
      </c>
      <c r="F2" t="s">
        <v>1048</v>
      </c>
      <c r="G2" t="s">
        <v>871</v>
      </c>
      <c r="H2" s="14" t="s">
        <v>67</v>
      </c>
      <c r="I2" s="14">
        <v>43433</v>
      </c>
      <c r="J2" s="27">
        <v>24</v>
      </c>
      <c r="K2" s="4">
        <v>42887</v>
      </c>
      <c r="L2" s="4">
        <v>43617</v>
      </c>
      <c r="M2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20"/>
  <dimension ref="A1:P2"/>
  <sheetViews>
    <sheetView workbookViewId="0"/>
  </sheetViews>
  <sheetFormatPr defaultRowHeight="12.75"/>
  <cols>
    <col min="1" max="1" width="23.33203125" bestFit="1" customWidth="1"/>
    <col min="2" max="2" width="8.83203125" bestFit="1" customWidth="1"/>
    <col min="3" max="3" width="15.6640625" bestFit="1" customWidth="1"/>
    <col min="4" max="4" width="37.33203125" bestFit="1" customWidth="1"/>
    <col min="5" max="5" width="9.1640625" bestFit="1" customWidth="1"/>
    <col min="6" max="6" width="25.33203125" bestFit="1" customWidth="1"/>
    <col min="7" max="7" width="12.33203125" bestFit="1" customWidth="1"/>
    <col min="8" max="8" width="10.1640625" bestFit="1" customWidth="1"/>
    <col min="9" max="9" width="9.1640625" bestFit="1" customWidth="1"/>
    <col min="10" max="10" width="3.1640625" bestFit="1" customWidth="1"/>
    <col min="11" max="12" width="8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904</v>
      </c>
      <c r="B2" t="s">
        <v>934</v>
      </c>
      <c r="C2" s="8" t="s">
        <v>540</v>
      </c>
      <c r="D2" s="8" t="s">
        <v>541</v>
      </c>
      <c r="E2" t="s">
        <v>1049</v>
      </c>
      <c r="F2" t="s">
        <v>1050</v>
      </c>
      <c r="G2" t="s">
        <v>913</v>
      </c>
      <c r="H2" s="14" t="s">
        <v>180</v>
      </c>
      <c r="I2" s="23">
        <v>43677</v>
      </c>
      <c r="J2" s="27">
        <v>24</v>
      </c>
      <c r="K2" s="4">
        <v>42860</v>
      </c>
      <c r="L2" s="4">
        <v>43589</v>
      </c>
      <c r="M2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21"/>
  <dimension ref="A1:P2"/>
  <sheetViews>
    <sheetView workbookViewId="0"/>
  </sheetViews>
  <sheetFormatPr defaultRowHeight="12.75"/>
  <cols>
    <col min="1" max="1" width="23.83203125" bestFit="1" customWidth="1"/>
    <col min="2" max="2" width="8.83203125" bestFit="1" customWidth="1"/>
    <col min="3" max="3" width="15.6640625" bestFit="1" customWidth="1"/>
    <col min="4" max="4" width="33.6640625" bestFit="1" customWidth="1"/>
    <col min="5" max="5" width="9.1640625" bestFit="1" customWidth="1"/>
    <col min="6" max="6" width="26.5" bestFit="1" customWidth="1"/>
    <col min="7" max="7" width="13.33203125" bestFit="1" customWidth="1"/>
    <col min="8" max="8" width="10.1640625" bestFit="1" customWidth="1"/>
    <col min="9" max="9" width="9.1640625" bestFit="1" customWidth="1"/>
    <col min="10" max="10" width="3.1640625" bestFit="1" customWidth="1"/>
    <col min="11" max="12" width="9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833</v>
      </c>
      <c r="B2" t="s">
        <v>934</v>
      </c>
      <c r="C2" s="29" t="s">
        <v>757</v>
      </c>
      <c r="D2" t="s">
        <v>758</v>
      </c>
      <c r="E2" t="s">
        <v>1051</v>
      </c>
      <c r="F2" t="s">
        <v>1052</v>
      </c>
      <c r="G2" t="s">
        <v>901</v>
      </c>
      <c r="H2" s="14" t="s">
        <v>140</v>
      </c>
      <c r="I2" s="23">
        <v>43281</v>
      </c>
      <c r="J2" s="27">
        <v>24</v>
      </c>
      <c r="K2" s="4">
        <v>42520</v>
      </c>
      <c r="L2" s="4">
        <v>43249</v>
      </c>
      <c r="M2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22"/>
  <dimension ref="A1:P2"/>
  <sheetViews>
    <sheetView workbookViewId="0"/>
  </sheetViews>
  <sheetFormatPr defaultRowHeight="12.75"/>
  <cols>
    <col min="1" max="1" width="23.33203125" bestFit="1" customWidth="1"/>
    <col min="2" max="2" width="12.33203125" bestFit="1" customWidth="1"/>
    <col min="3" max="3" width="15.6640625" bestFit="1" customWidth="1"/>
    <col min="4" max="4" width="32.83203125" bestFit="1" customWidth="1"/>
    <col min="5" max="5" width="9.1640625" bestFit="1" customWidth="1"/>
    <col min="6" max="6" width="16" bestFit="1" customWidth="1"/>
    <col min="7" max="7" width="12.5" bestFit="1" customWidth="1"/>
    <col min="8" max="8" width="10.1640625" bestFit="1" customWidth="1"/>
    <col min="9" max="9" width="9.1640625" bestFit="1" customWidth="1"/>
    <col min="10" max="10" width="3.1640625" bestFit="1" customWidth="1"/>
    <col min="11" max="11" width="8.1640625" bestFit="1" customWidth="1"/>
    <col min="12" max="12" width="9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774</v>
      </c>
      <c r="B2" t="s">
        <v>1505</v>
      </c>
      <c r="C2" s="29" t="s">
        <v>184</v>
      </c>
      <c r="D2" t="s">
        <v>185</v>
      </c>
      <c r="E2" t="s">
        <v>1053</v>
      </c>
      <c r="F2" t="s">
        <v>1054</v>
      </c>
      <c r="G2" t="s">
        <v>842</v>
      </c>
      <c r="H2" s="14" t="s">
        <v>186</v>
      </c>
      <c r="I2" s="14">
        <v>43554</v>
      </c>
      <c r="J2" s="27">
        <v>24</v>
      </c>
      <c r="K2" s="4">
        <v>42461</v>
      </c>
      <c r="L2" s="4">
        <v>43554</v>
      </c>
      <c r="M2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23"/>
  <dimension ref="A1:P3"/>
  <sheetViews>
    <sheetView workbookViewId="0"/>
  </sheetViews>
  <sheetFormatPr defaultRowHeight="12.75"/>
  <cols>
    <col min="1" max="1" width="24.33203125" bestFit="1" customWidth="1"/>
    <col min="2" max="2" width="8.83203125" bestFit="1" customWidth="1"/>
    <col min="3" max="3" width="15.6640625" bestFit="1" customWidth="1"/>
    <col min="4" max="4" width="44.5" bestFit="1" customWidth="1"/>
    <col min="5" max="5" width="9.1640625" bestFit="1" customWidth="1"/>
    <col min="6" max="6" width="37.1640625" bestFit="1" customWidth="1"/>
    <col min="7" max="7" width="13" bestFit="1" customWidth="1"/>
    <col min="8" max="9" width="10.1640625" bestFit="1" customWidth="1"/>
    <col min="10" max="10" width="3.1640625" bestFit="1" customWidth="1"/>
    <col min="11" max="11" width="9.1640625" bestFit="1" customWidth="1"/>
    <col min="12" max="12" width="10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806</v>
      </c>
      <c r="B2" t="s">
        <v>934</v>
      </c>
      <c r="C2" s="29" t="s">
        <v>644</v>
      </c>
      <c r="D2" t="s">
        <v>645</v>
      </c>
      <c r="E2" t="s">
        <v>1055</v>
      </c>
      <c r="F2" t="s">
        <v>1056</v>
      </c>
      <c r="G2" t="s">
        <v>874</v>
      </c>
      <c r="H2" s="14" t="s">
        <v>16</v>
      </c>
      <c r="I2" s="14">
        <v>43100</v>
      </c>
      <c r="J2" s="27">
        <v>24</v>
      </c>
      <c r="K2" s="4">
        <v>42095</v>
      </c>
      <c r="L2" s="6">
        <v>43100</v>
      </c>
      <c r="M2" s="27">
        <v>24</v>
      </c>
    </row>
    <row r="3" spans="1:16">
      <c r="A3" t="s">
        <v>806</v>
      </c>
      <c r="B3" t="s">
        <v>934</v>
      </c>
      <c r="C3" s="29" t="s">
        <v>646</v>
      </c>
      <c r="D3" t="s">
        <v>647</v>
      </c>
      <c r="E3" t="s">
        <v>1057</v>
      </c>
      <c r="F3" t="s">
        <v>1058</v>
      </c>
      <c r="G3" t="s">
        <v>874</v>
      </c>
      <c r="H3" s="14" t="s">
        <v>267</v>
      </c>
      <c r="I3" s="23">
        <v>43464</v>
      </c>
      <c r="J3" s="27">
        <v>24</v>
      </c>
      <c r="K3" s="4">
        <v>42789</v>
      </c>
      <c r="L3" s="4">
        <v>43519</v>
      </c>
      <c r="M3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24"/>
  <dimension ref="A1:P5"/>
  <sheetViews>
    <sheetView workbookViewId="0"/>
  </sheetViews>
  <sheetFormatPr defaultRowHeight="12.75"/>
  <cols>
    <col min="1" max="1" width="22.5" bestFit="1" customWidth="1"/>
    <col min="2" max="2" width="8.83203125" bestFit="1" customWidth="1"/>
    <col min="3" max="3" width="15.6640625" bestFit="1" customWidth="1"/>
    <col min="4" max="4" width="33" bestFit="1" customWidth="1"/>
    <col min="5" max="5" width="9.1640625" bestFit="1" customWidth="1"/>
    <col min="6" max="6" width="21" bestFit="1" customWidth="1"/>
    <col min="7" max="7" width="11.1640625" bestFit="1" customWidth="1"/>
    <col min="8" max="9" width="10.1640625" bestFit="1" customWidth="1"/>
    <col min="10" max="10" width="3.1640625" bestFit="1" customWidth="1"/>
    <col min="11" max="12" width="10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797</v>
      </c>
      <c r="B2" t="s">
        <v>934</v>
      </c>
      <c r="C2" s="29" t="s">
        <v>608</v>
      </c>
      <c r="D2" t="s">
        <v>609</v>
      </c>
      <c r="E2" t="s">
        <v>1059</v>
      </c>
      <c r="F2" t="s">
        <v>1060</v>
      </c>
      <c r="G2" t="s">
        <v>865</v>
      </c>
      <c r="H2" s="14" t="s">
        <v>610</v>
      </c>
      <c r="I2" s="23">
        <v>43203</v>
      </c>
      <c r="J2" s="27">
        <v>24</v>
      </c>
      <c r="K2" s="4">
        <v>42840</v>
      </c>
      <c r="L2" s="4">
        <v>43570</v>
      </c>
      <c r="M2" s="27">
        <v>24</v>
      </c>
    </row>
    <row r="3" spans="1:16">
      <c r="A3" t="s">
        <v>797</v>
      </c>
      <c r="B3" t="s">
        <v>934</v>
      </c>
      <c r="C3" s="29" t="s">
        <v>611</v>
      </c>
      <c r="D3" t="s">
        <v>612</v>
      </c>
      <c r="E3" t="s">
        <v>1061</v>
      </c>
      <c r="F3" t="s">
        <v>1062</v>
      </c>
      <c r="G3" t="s">
        <v>865</v>
      </c>
      <c r="H3" s="14" t="s">
        <v>267</v>
      </c>
      <c r="I3" s="23">
        <v>43464</v>
      </c>
      <c r="J3" s="27">
        <v>24</v>
      </c>
      <c r="K3" s="4">
        <v>42698</v>
      </c>
      <c r="L3" s="4">
        <v>43428</v>
      </c>
      <c r="M3" s="27">
        <v>24</v>
      </c>
    </row>
    <row r="4" spans="1:16">
      <c r="A4" t="s">
        <v>797</v>
      </c>
      <c r="B4" t="s">
        <v>934</v>
      </c>
      <c r="C4" s="29" t="s">
        <v>613</v>
      </c>
      <c r="D4" t="s">
        <v>614</v>
      </c>
      <c r="E4" t="s">
        <v>1063</v>
      </c>
      <c r="F4" t="s">
        <v>1064</v>
      </c>
      <c r="G4" t="s">
        <v>865</v>
      </c>
      <c r="H4" s="14" t="s">
        <v>615</v>
      </c>
      <c r="I4" s="23">
        <v>43634</v>
      </c>
      <c r="J4" s="27">
        <v>24</v>
      </c>
      <c r="K4" s="4">
        <v>42935</v>
      </c>
      <c r="L4" s="4">
        <v>43665</v>
      </c>
      <c r="M4" s="27">
        <v>24</v>
      </c>
    </row>
    <row r="5" spans="1:16">
      <c r="A5" t="s">
        <v>797</v>
      </c>
      <c r="B5" t="s">
        <v>934</v>
      </c>
      <c r="C5" s="29" t="s">
        <v>616</v>
      </c>
      <c r="D5" t="s">
        <v>617</v>
      </c>
      <c r="E5" t="s">
        <v>1065</v>
      </c>
      <c r="F5" t="s">
        <v>1066</v>
      </c>
      <c r="G5" t="s">
        <v>865</v>
      </c>
      <c r="H5" s="14" t="s">
        <v>615</v>
      </c>
      <c r="I5" s="23">
        <v>43634</v>
      </c>
      <c r="J5" s="27">
        <v>24</v>
      </c>
      <c r="K5" s="4">
        <v>42935</v>
      </c>
      <c r="L5" s="4">
        <v>43665</v>
      </c>
      <c r="M5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25"/>
  <dimension ref="A1:P3"/>
  <sheetViews>
    <sheetView workbookViewId="0"/>
  </sheetViews>
  <sheetFormatPr defaultRowHeight="12.75"/>
  <cols>
    <col min="1" max="1" width="24.6640625" bestFit="1" customWidth="1"/>
    <col min="2" max="2" width="12.33203125" bestFit="1" customWidth="1"/>
    <col min="3" max="3" width="15.6640625" bestFit="1" customWidth="1"/>
    <col min="4" max="4" width="44.6640625" bestFit="1" customWidth="1"/>
    <col min="5" max="5" width="9.1640625" bestFit="1" customWidth="1"/>
    <col min="6" max="6" width="28.33203125" bestFit="1" customWidth="1"/>
    <col min="7" max="7" width="14" bestFit="1" customWidth="1"/>
    <col min="8" max="8" width="10.1640625" bestFit="1" customWidth="1"/>
    <col min="9" max="9" width="9.1640625" bestFit="1" customWidth="1"/>
    <col min="10" max="10" width="3.1640625" bestFit="1" customWidth="1"/>
    <col min="11" max="11" width="8.1640625" bestFit="1" customWidth="1"/>
    <col min="12" max="12" width="9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786</v>
      </c>
      <c r="B2" t="s">
        <v>1505</v>
      </c>
      <c r="C2" s="29" t="s">
        <v>252</v>
      </c>
      <c r="D2" t="s">
        <v>253</v>
      </c>
      <c r="E2" t="s">
        <v>1067</v>
      </c>
      <c r="F2" t="s">
        <v>1068</v>
      </c>
      <c r="G2" t="s">
        <v>854</v>
      </c>
      <c r="H2" s="14" t="s">
        <v>254</v>
      </c>
      <c r="I2" s="14">
        <v>43281</v>
      </c>
      <c r="J2" s="27">
        <v>24</v>
      </c>
      <c r="K2" s="4">
        <v>40940</v>
      </c>
      <c r="L2" s="6">
        <v>43281</v>
      </c>
      <c r="M2" s="27">
        <v>24</v>
      </c>
    </row>
    <row r="3" spans="1:16">
      <c r="A3" t="s">
        <v>786</v>
      </c>
      <c r="B3" t="s">
        <v>934</v>
      </c>
      <c r="C3" s="29" t="s">
        <v>565</v>
      </c>
      <c r="D3" t="s">
        <v>566</v>
      </c>
      <c r="E3" t="s">
        <v>1069</v>
      </c>
      <c r="F3" t="s">
        <v>1070</v>
      </c>
      <c r="G3" t="s">
        <v>854</v>
      </c>
      <c r="H3" s="14" t="s">
        <v>567</v>
      </c>
      <c r="I3" s="23">
        <v>43196</v>
      </c>
      <c r="J3" s="27">
        <v>24</v>
      </c>
      <c r="K3" s="4">
        <v>42430</v>
      </c>
      <c r="L3" s="4">
        <v>43159</v>
      </c>
      <c r="M3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26"/>
  <dimension ref="A1:P5"/>
  <sheetViews>
    <sheetView workbookViewId="0"/>
  </sheetViews>
  <sheetFormatPr defaultRowHeight="12.75"/>
  <cols>
    <col min="1" max="1" width="25.33203125" bestFit="1" customWidth="1"/>
    <col min="2" max="2" width="12.33203125" bestFit="1" customWidth="1"/>
    <col min="3" max="3" width="15.6640625" bestFit="1" customWidth="1"/>
    <col min="4" max="4" width="52.33203125" bestFit="1" customWidth="1"/>
    <col min="5" max="5" width="9.1640625" bestFit="1" customWidth="1"/>
    <col min="6" max="6" width="36" bestFit="1" customWidth="1"/>
    <col min="7" max="7" width="14.6640625" bestFit="1" customWidth="1"/>
    <col min="8" max="9" width="10.1640625" bestFit="1" customWidth="1"/>
    <col min="10" max="10" width="3.1640625" bestFit="1" customWidth="1"/>
    <col min="11" max="12" width="10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787</v>
      </c>
      <c r="B2" t="s">
        <v>1505</v>
      </c>
      <c r="C2" s="29" t="s">
        <v>26</v>
      </c>
      <c r="D2" t="s">
        <v>27</v>
      </c>
      <c r="E2" t="s">
        <v>1071</v>
      </c>
      <c r="F2" t="s">
        <v>1072</v>
      </c>
      <c r="G2" t="s">
        <v>855</v>
      </c>
      <c r="H2" s="14" t="s">
        <v>28</v>
      </c>
      <c r="I2" s="23">
        <v>43434</v>
      </c>
      <c r="J2" s="27">
        <v>24</v>
      </c>
      <c r="K2" s="4">
        <v>42037</v>
      </c>
      <c r="L2" s="4">
        <v>43132</v>
      </c>
      <c r="M2" s="27">
        <v>12</v>
      </c>
    </row>
    <row r="3" spans="1:16">
      <c r="A3" t="s">
        <v>787</v>
      </c>
      <c r="B3" t="s">
        <v>1505</v>
      </c>
      <c r="C3" s="29" t="s">
        <v>29</v>
      </c>
      <c r="D3" t="s">
        <v>30</v>
      </c>
      <c r="E3" t="s">
        <v>1073</v>
      </c>
      <c r="F3" t="s">
        <v>1074</v>
      </c>
      <c r="G3" t="s">
        <v>855</v>
      </c>
      <c r="H3" s="14" t="s">
        <v>31</v>
      </c>
      <c r="I3" s="23">
        <v>43404</v>
      </c>
      <c r="J3" s="27">
        <v>24</v>
      </c>
      <c r="K3" s="4">
        <v>42948</v>
      </c>
      <c r="L3" s="4">
        <v>43404</v>
      </c>
      <c r="M3" s="27">
        <v>24.5</v>
      </c>
    </row>
    <row r="4" spans="1:16">
      <c r="A4" t="s">
        <v>787</v>
      </c>
      <c r="B4" t="s">
        <v>1505</v>
      </c>
      <c r="C4" s="29" t="s">
        <v>23</v>
      </c>
      <c r="D4" t="s">
        <v>24</v>
      </c>
      <c r="E4" t="s">
        <v>1075</v>
      </c>
      <c r="F4" t="s">
        <v>1076</v>
      </c>
      <c r="G4" t="s">
        <v>855</v>
      </c>
      <c r="H4" s="14" t="s">
        <v>25</v>
      </c>
      <c r="I4" s="14">
        <v>43281</v>
      </c>
      <c r="J4" s="27">
        <v>24</v>
      </c>
      <c r="K4" s="4">
        <v>42673</v>
      </c>
      <c r="L4" s="4">
        <v>43251</v>
      </c>
      <c r="M4" s="27">
        <v>20</v>
      </c>
    </row>
    <row r="5" spans="1:16">
      <c r="A5" t="s">
        <v>787</v>
      </c>
      <c r="B5" t="s">
        <v>1505</v>
      </c>
      <c r="C5" s="29" t="s">
        <v>255</v>
      </c>
      <c r="D5" t="s">
        <v>256</v>
      </c>
      <c r="E5" t="s">
        <v>1077</v>
      </c>
      <c r="F5" t="s">
        <v>1078</v>
      </c>
      <c r="G5" t="s">
        <v>855</v>
      </c>
      <c r="H5" s="14" t="s">
        <v>257</v>
      </c>
      <c r="I5" s="23">
        <v>43281</v>
      </c>
      <c r="J5" s="27">
        <v>24</v>
      </c>
      <c r="K5" s="4">
        <v>42552</v>
      </c>
      <c r="L5" s="4">
        <v>43281</v>
      </c>
      <c r="M5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27"/>
  <dimension ref="A1:P2"/>
  <sheetViews>
    <sheetView workbookViewId="0"/>
  </sheetViews>
  <sheetFormatPr defaultRowHeight="12.75"/>
  <cols>
    <col min="1" max="1" width="26" bestFit="1" customWidth="1"/>
    <col min="2" max="2" width="8.83203125" bestFit="1" customWidth="1"/>
    <col min="3" max="3" width="15.6640625" bestFit="1" customWidth="1"/>
    <col min="4" max="4" width="25" bestFit="1" customWidth="1"/>
    <col min="5" max="5" width="9.1640625" bestFit="1" customWidth="1"/>
    <col min="6" max="6" width="17.83203125" bestFit="1" customWidth="1"/>
    <col min="7" max="7" width="15.5" bestFit="1" customWidth="1"/>
    <col min="8" max="8" width="10.1640625" bestFit="1" customWidth="1"/>
    <col min="9" max="9" width="9.1640625" bestFit="1" customWidth="1"/>
    <col min="10" max="10" width="3.1640625" bestFit="1" customWidth="1"/>
    <col min="11" max="12" width="9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909</v>
      </c>
      <c r="B2" t="s">
        <v>934</v>
      </c>
      <c r="C2" s="29" t="s">
        <v>709</v>
      </c>
      <c r="D2" t="s">
        <v>710</v>
      </c>
      <c r="E2" t="s">
        <v>1079</v>
      </c>
      <c r="F2" t="s">
        <v>1080</v>
      </c>
      <c r="G2" t="s">
        <v>918</v>
      </c>
      <c r="H2" s="14" t="s">
        <v>266</v>
      </c>
      <c r="I2" s="14">
        <v>43251</v>
      </c>
      <c r="J2" s="27">
        <v>24</v>
      </c>
      <c r="K2" s="4">
        <v>42580</v>
      </c>
      <c r="L2" s="4">
        <v>43310</v>
      </c>
      <c r="M2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28"/>
  <dimension ref="A1:P4"/>
  <sheetViews>
    <sheetView workbookViewId="0"/>
  </sheetViews>
  <sheetFormatPr defaultRowHeight="12.75"/>
  <cols>
    <col min="1" max="1" width="25.33203125" bestFit="1" customWidth="1"/>
    <col min="2" max="2" width="12.33203125" bestFit="1" customWidth="1"/>
    <col min="3" max="3" width="15.6640625" bestFit="1" customWidth="1"/>
    <col min="4" max="4" width="35.1640625" bestFit="1" customWidth="1"/>
    <col min="5" max="5" width="9.1640625" bestFit="1" customWidth="1"/>
    <col min="6" max="6" width="23.1640625" bestFit="1" customWidth="1"/>
    <col min="7" max="7" width="14.5" bestFit="1" customWidth="1"/>
    <col min="8" max="9" width="10.1640625" bestFit="1" customWidth="1"/>
    <col min="10" max="10" width="3.1640625" bestFit="1" customWidth="1"/>
    <col min="11" max="11" width="9.1640625" bestFit="1" customWidth="1"/>
    <col min="12" max="12" width="10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782</v>
      </c>
      <c r="B2" t="s">
        <v>1505</v>
      </c>
      <c r="C2" s="8" t="s">
        <v>210</v>
      </c>
      <c r="D2" s="8" t="s">
        <v>211</v>
      </c>
      <c r="E2" t="s">
        <v>1081</v>
      </c>
      <c r="F2" t="s">
        <v>1082</v>
      </c>
      <c r="G2" t="s">
        <v>850</v>
      </c>
      <c r="H2" s="14" t="s">
        <v>212</v>
      </c>
      <c r="I2" s="23">
        <v>43263</v>
      </c>
      <c r="J2" s="27">
        <v>24</v>
      </c>
      <c r="K2" s="4">
        <v>42901</v>
      </c>
      <c r="L2" s="4">
        <v>43630</v>
      </c>
      <c r="M2" s="27">
        <v>24</v>
      </c>
    </row>
    <row r="3" spans="1:16">
      <c r="A3" t="s">
        <v>782</v>
      </c>
      <c r="B3" t="s">
        <v>934</v>
      </c>
      <c r="C3" s="8" t="s">
        <v>559</v>
      </c>
      <c r="D3" s="8" t="s">
        <v>560</v>
      </c>
      <c r="E3" t="s">
        <v>1083</v>
      </c>
      <c r="F3" t="s">
        <v>1084</v>
      </c>
      <c r="G3" t="s">
        <v>850</v>
      </c>
      <c r="H3" s="14" t="s">
        <v>561</v>
      </c>
      <c r="I3" s="14">
        <v>43069</v>
      </c>
      <c r="J3" s="27">
        <v>24</v>
      </c>
      <c r="K3" s="4">
        <v>42871</v>
      </c>
      <c r="L3" s="4">
        <v>43069</v>
      </c>
      <c r="M3" s="27">
        <v>24</v>
      </c>
    </row>
    <row r="4" spans="1:16">
      <c r="A4" t="s">
        <v>782</v>
      </c>
      <c r="B4" t="s">
        <v>934</v>
      </c>
      <c r="C4" s="8" t="s">
        <v>562</v>
      </c>
      <c r="D4" s="8" t="s">
        <v>563</v>
      </c>
      <c r="E4" t="s">
        <v>1085</v>
      </c>
      <c r="F4" t="s">
        <v>1086</v>
      </c>
      <c r="G4" t="s">
        <v>850</v>
      </c>
      <c r="H4" s="14" t="s">
        <v>140</v>
      </c>
      <c r="I4" s="23">
        <v>43281</v>
      </c>
      <c r="J4" s="27">
        <v>24</v>
      </c>
      <c r="K4" s="4">
        <v>42917</v>
      </c>
      <c r="L4" s="4">
        <v>43646</v>
      </c>
      <c r="M4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29"/>
  <dimension ref="A1:P4"/>
  <sheetViews>
    <sheetView workbookViewId="0"/>
  </sheetViews>
  <sheetFormatPr defaultRowHeight="12.75"/>
  <cols>
    <col min="1" max="1" width="26.6640625" bestFit="1" customWidth="1"/>
    <col min="2" max="2" width="12.33203125" bestFit="1" customWidth="1"/>
    <col min="3" max="3" width="15.6640625" bestFit="1" customWidth="1"/>
    <col min="4" max="4" width="30.5" bestFit="1" customWidth="1"/>
    <col min="5" max="5" width="9.1640625" bestFit="1" customWidth="1"/>
    <col min="6" max="6" width="19.83203125" bestFit="1" customWidth="1"/>
    <col min="7" max="7" width="15.83203125" bestFit="1" customWidth="1"/>
    <col min="8" max="9" width="10.1640625" bestFit="1" customWidth="1"/>
    <col min="10" max="10" width="3.1640625" bestFit="1" customWidth="1"/>
    <col min="11" max="11" width="8.1640625" bestFit="1" customWidth="1"/>
    <col min="12" max="12" width="10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835</v>
      </c>
      <c r="B2" t="s">
        <v>1505</v>
      </c>
      <c r="C2" s="9" t="s">
        <v>481</v>
      </c>
      <c r="D2" s="20" t="s">
        <v>482</v>
      </c>
      <c r="E2" t="s">
        <v>1087</v>
      </c>
      <c r="F2" t="s">
        <v>1088</v>
      </c>
      <c r="G2" t="s">
        <v>903</v>
      </c>
      <c r="H2" s="14" t="s">
        <v>483</v>
      </c>
      <c r="I2" s="23">
        <v>43131</v>
      </c>
      <c r="J2" s="27">
        <v>24</v>
      </c>
      <c r="K2" s="4">
        <v>41640</v>
      </c>
      <c r="L2" s="4">
        <v>43131</v>
      </c>
      <c r="M2" s="27">
        <v>24</v>
      </c>
    </row>
    <row r="3" spans="1:16">
      <c r="A3" t="s">
        <v>835</v>
      </c>
      <c r="B3" t="s">
        <v>934</v>
      </c>
      <c r="C3" s="9" t="s">
        <v>761</v>
      </c>
      <c r="D3" s="20" t="s">
        <v>762</v>
      </c>
      <c r="E3" t="s">
        <v>1089</v>
      </c>
      <c r="F3" t="s">
        <v>1090</v>
      </c>
      <c r="G3" t="s">
        <v>903</v>
      </c>
      <c r="H3" s="14" t="s">
        <v>462</v>
      </c>
      <c r="I3" s="23">
        <v>43100</v>
      </c>
      <c r="J3" s="27">
        <v>24</v>
      </c>
      <c r="K3" s="4">
        <v>39904</v>
      </c>
      <c r="L3" s="4">
        <v>43100</v>
      </c>
      <c r="M3" s="27">
        <v>24</v>
      </c>
    </row>
    <row r="4" spans="1:16">
      <c r="A4" t="s">
        <v>835</v>
      </c>
      <c r="B4" t="s">
        <v>934</v>
      </c>
      <c r="C4" s="9" t="s">
        <v>763</v>
      </c>
      <c r="D4" s="20" t="s">
        <v>764</v>
      </c>
      <c r="E4" t="s">
        <v>1091</v>
      </c>
      <c r="F4" t="s">
        <v>1092</v>
      </c>
      <c r="G4" t="s">
        <v>903</v>
      </c>
      <c r="H4" s="14" t="s">
        <v>765</v>
      </c>
      <c r="I4" s="23">
        <v>43964</v>
      </c>
      <c r="J4" s="27">
        <v>36</v>
      </c>
      <c r="K4" s="4">
        <v>42887</v>
      </c>
      <c r="L4" s="4">
        <v>43964</v>
      </c>
      <c r="M4" s="27">
        <v>36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30"/>
  <dimension ref="A1:P4"/>
  <sheetViews>
    <sheetView workbookViewId="0"/>
  </sheetViews>
  <sheetFormatPr defaultRowHeight="12.75"/>
  <cols>
    <col min="1" max="1" width="21.1640625" bestFit="1" customWidth="1"/>
    <col min="2" max="2" width="8.83203125" bestFit="1" customWidth="1"/>
    <col min="3" max="3" width="15.6640625" bestFit="1" customWidth="1"/>
    <col min="4" max="4" width="27" bestFit="1" customWidth="1"/>
    <col min="5" max="5" width="9.1640625" bestFit="1" customWidth="1"/>
    <col min="6" max="6" width="19.6640625" bestFit="1" customWidth="1"/>
    <col min="7" max="7" width="10.6640625" bestFit="1" customWidth="1"/>
    <col min="8" max="9" width="10.1640625" bestFit="1" customWidth="1"/>
    <col min="10" max="10" width="3.1640625" bestFit="1" customWidth="1"/>
    <col min="11" max="11" width="9.1640625" bestFit="1" customWidth="1"/>
    <col min="12" max="12" width="10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910</v>
      </c>
      <c r="B2" t="s">
        <v>934</v>
      </c>
      <c r="C2" s="29" t="s">
        <v>714</v>
      </c>
      <c r="D2" t="s">
        <v>715</v>
      </c>
      <c r="E2" t="s">
        <v>1093</v>
      </c>
      <c r="F2" t="s">
        <v>1094</v>
      </c>
      <c r="G2" t="s">
        <v>919</v>
      </c>
      <c r="H2" s="14" t="s">
        <v>118</v>
      </c>
      <c r="I2" s="23">
        <v>43100</v>
      </c>
      <c r="J2" s="27">
        <v>12</v>
      </c>
      <c r="K2" s="4">
        <v>42644</v>
      </c>
      <c r="L2" s="4">
        <v>43373</v>
      </c>
      <c r="M2" s="27">
        <v>12</v>
      </c>
    </row>
    <row r="3" spans="1:16">
      <c r="A3" t="s">
        <v>910</v>
      </c>
      <c r="B3" t="s">
        <v>934</v>
      </c>
      <c r="C3" s="29" t="s">
        <v>716</v>
      </c>
      <c r="D3" t="s">
        <v>717</v>
      </c>
      <c r="E3" t="s">
        <v>1095</v>
      </c>
      <c r="F3" t="s">
        <v>1096</v>
      </c>
      <c r="G3" t="s">
        <v>919</v>
      </c>
      <c r="H3" s="14" t="s">
        <v>281</v>
      </c>
      <c r="I3" s="23">
        <v>43219</v>
      </c>
      <c r="J3" s="27">
        <v>12</v>
      </c>
      <c r="K3" s="4">
        <v>41395</v>
      </c>
      <c r="L3" s="4">
        <v>43219</v>
      </c>
      <c r="M3" s="27">
        <v>12</v>
      </c>
    </row>
    <row r="4" spans="1:16">
      <c r="A4" t="s">
        <v>910</v>
      </c>
      <c r="B4" t="s">
        <v>934</v>
      </c>
      <c r="C4" s="29" t="s">
        <v>718</v>
      </c>
      <c r="D4" t="s">
        <v>719</v>
      </c>
      <c r="E4" t="s">
        <v>1097</v>
      </c>
      <c r="F4" t="s">
        <v>1098</v>
      </c>
      <c r="G4" t="s">
        <v>919</v>
      </c>
      <c r="H4" s="14" t="s">
        <v>67</v>
      </c>
      <c r="I4" s="23">
        <v>43433</v>
      </c>
      <c r="J4" s="27">
        <v>24</v>
      </c>
      <c r="K4" s="4">
        <v>42675</v>
      </c>
      <c r="L4" s="4">
        <v>43404</v>
      </c>
      <c r="M4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31"/>
  <dimension ref="A1:P8"/>
  <sheetViews>
    <sheetView workbookViewId="0"/>
  </sheetViews>
  <sheetFormatPr defaultRowHeight="12.75"/>
  <cols>
    <col min="1" max="1" width="24.5" bestFit="1" customWidth="1"/>
    <col min="2" max="2" width="12.33203125" bestFit="1" customWidth="1"/>
    <col min="3" max="3" width="15.6640625" bestFit="1" customWidth="1"/>
    <col min="4" max="4" width="49.5" bestFit="1" customWidth="1"/>
    <col min="5" max="5" width="9.1640625" bestFit="1" customWidth="1"/>
    <col min="6" max="6" width="35.33203125" bestFit="1" customWidth="1"/>
    <col min="7" max="7" width="13.6640625" bestFit="1" customWidth="1"/>
    <col min="8" max="8" width="10.1640625" bestFit="1" customWidth="1"/>
    <col min="9" max="9" width="9.1640625" bestFit="1" customWidth="1"/>
    <col min="10" max="10" width="3.1640625" bestFit="1" customWidth="1"/>
    <col min="11" max="11" width="9.1640625" bestFit="1" customWidth="1"/>
    <col min="12" max="12" width="10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769</v>
      </c>
      <c r="B2" t="s">
        <v>1505</v>
      </c>
      <c r="C2" s="29" t="s">
        <v>119</v>
      </c>
      <c r="D2" t="s">
        <v>120</v>
      </c>
      <c r="E2" t="s">
        <v>1099</v>
      </c>
      <c r="F2" t="s">
        <v>1100</v>
      </c>
      <c r="G2" t="s">
        <v>837</v>
      </c>
      <c r="H2" s="14" t="s">
        <v>121</v>
      </c>
      <c r="I2" s="14">
        <v>43159</v>
      </c>
      <c r="J2" s="27">
        <v>24</v>
      </c>
      <c r="K2" s="4">
        <v>42339</v>
      </c>
      <c r="L2" s="4">
        <v>43069</v>
      </c>
      <c r="M2" s="27">
        <v>24</v>
      </c>
    </row>
    <row r="3" spans="1:16">
      <c r="A3" t="s">
        <v>769</v>
      </c>
      <c r="B3" t="s">
        <v>1505</v>
      </c>
      <c r="C3" s="29" t="s">
        <v>122</v>
      </c>
      <c r="D3" t="s">
        <v>123</v>
      </c>
      <c r="E3" t="s">
        <v>1101</v>
      </c>
      <c r="F3" t="s">
        <v>1102</v>
      </c>
      <c r="G3" t="s">
        <v>837</v>
      </c>
      <c r="H3" s="14" t="s">
        <v>25</v>
      </c>
      <c r="I3" s="14">
        <v>43312</v>
      </c>
      <c r="J3" s="27">
        <v>24</v>
      </c>
      <c r="K3" s="4">
        <v>41879</v>
      </c>
      <c r="L3" s="4">
        <v>43312</v>
      </c>
      <c r="M3" s="27">
        <v>24</v>
      </c>
    </row>
    <row r="4" spans="1:16">
      <c r="A4" t="s">
        <v>769</v>
      </c>
      <c r="B4" t="s">
        <v>1505</v>
      </c>
      <c r="C4" s="29" t="s">
        <v>124</v>
      </c>
      <c r="D4" t="s">
        <v>125</v>
      </c>
      <c r="E4" t="s">
        <v>1103</v>
      </c>
      <c r="F4" t="s">
        <v>1104</v>
      </c>
      <c r="G4" t="s">
        <v>837</v>
      </c>
      <c r="H4" s="14" t="s">
        <v>126</v>
      </c>
      <c r="I4" s="14">
        <v>43343</v>
      </c>
      <c r="J4" s="27">
        <v>24</v>
      </c>
      <c r="K4" s="4">
        <v>41911</v>
      </c>
      <c r="L4" s="4">
        <v>43343</v>
      </c>
      <c r="M4" s="27">
        <v>24</v>
      </c>
    </row>
    <row r="5" spans="1:16">
      <c r="A5" t="s">
        <v>769</v>
      </c>
      <c r="B5" t="s">
        <v>1505</v>
      </c>
      <c r="C5" s="29" t="s">
        <v>127</v>
      </c>
      <c r="D5" t="s">
        <v>128</v>
      </c>
      <c r="E5" t="s">
        <v>1105</v>
      </c>
      <c r="F5" t="s">
        <v>1106</v>
      </c>
      <c r="G5" t="s">
        <v>837</v>
      </c>
      <c r="H5" s="14" t="s">
        <v>111</v>
      </c>
      <c r="I5" s="14">
        <v>43524</v>
      </c>
      <c r="J5" s="27">
        <v>24</v>
      </c>
      <c r="K5" s="4">
        <v>42060</v>
      </c>
      <c r="L5" s="4">
        <v>43524</v>
      </c>
      <c r="M5" s="27">
        <v>24</v>
      </c>
    </row>
    <row r="6" spans="1:16">
      <c r="A6" t="s">
        <v>769</v>
      </c>
      <c r="B6" t="s">
        <v>1505</v>
      </c>
      <c r="C6" s="29" t="s">
        <v>129</v>
      </c>
      <c r="D6" t="s">
        <v>130</v>
      </c>
      <c r="E6" t="s">
        <v>1107</v>
      </c>
      <c r="F6" t="s">
        <v>1108</v>
      </c>
      <c r="G6" t="s">
        <v>837</v>
      </c>
      <c r="H6" s="14" t="s">
        <v>115</v>
      </c>
      <c r="I6" s="14">
        <v>43738</v>
      </c>
      <c r="J6" s="27">
        <v>24</v>
      </c>
      <c r="K6" s="4">
        <v>42979</v>
      </c>
      <c r="L6" s="4">
        <v>43738</v>
      </c>
      <c r="M6" s="27">
        <v>24</v>
      </c>
    </row>
    <row r="7" spans="1:16">
      <c r="A7" t="s">
        <v>769</v>
      </c>
      <c r="B7" t="s">
        <v>1505</v>
      </c>
      <c r="C7" s="29" t="s">
        <v>131</v>
      </c>
      <c r="D7" t="s">
        <v>132</v>
      </c>
      <c r="E7" t="s">
        <v>1109</v>
      </c>
      <c r="F7" t="s">
        <v>1110</v>
      </c>
      <c r="G7" t="s">
        <v>837</v>
      </c>
      <c r="H7" s="14" t="s">
        <v>133</v>
      </c>
      <c r="I7" s="14">
        <v>43496</v>
      </c>
      <c r="J7" s="27">
        <v>24</v>
      </c>
      <c r="K7" s="4">
        <v>42606</v>
      </c>
      <c r="L7" s="4">
        <v>43496</v>
      </c>
      <c r="M7" s="27">
        <v>24</v>
      </c>
    </row>
    <row r="8" spans="1:16">
      <c r="A8" t="s">
        <v>769</v>
      </c>
      <c r="B8" t="s">
        <v>934</v>
      </c>
      <c r="C8" s="29" t="s">
        <v>522</v>
      </c>
      <c r="D8" t="s">
        <v>523</v>
      </c>
      <c r="E8" t="s">
        <v>1111</v>
      </c>
      <c r="F8" t="s">
        <v>1112</v>
      </c>
      <c r="G8" t="s">
        <v>837</v>
      </c>
      <c r="H8" s="14" t="s">
        <v>133</v>
      </c>
      <c r="I8" s="14">
        <v>44227</v>
      </c>
      <c r="J8" s="27">
        <v>48</v>
      </c>
      <c r="K8" s="4">
        <v>42737</v>
      </c>
      <c r="L8" s="4">
        <v>44561</v>
      </c>
      <c r="M8" s="27">
        <v>48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32"/>
  <dimension ref="A1:P2"/>
  <sheetViews>
    <sheetView workbookViewId="0"/>
  </sheetViews>
  <sheetFormatPr defaultRowHeight="12.75"/>
  <cols>
    <col min="1" max="1" width="27.1640625" bestFit="1" customWidth="1"/>
    <col min="2" max="2" width="8.83203125" bestFit="1" customWidth="1"/>
    <col min="3" max="3" width="15.6640625" bestFit="1" customWidth="1"/>
    <col min="4" max="4" width="26.33203125" bestFit="1" customWidth="1"/>
    <col min="5" max="5" width="9.1640625" bestFit="1" customWidth="1"/>
    <col min="6" max="6" width="14.33203125" bestFit="1" customWidth="1"/>
    <col min="7" max="7" width="16.33203125" bestFit="1" customWidth="1"/>
    <col min="8" max="8" width="10.1640625" bestFit="1" customWidth="1"/>
    <col min="9" max="9" width="9.1640625" bestFit="1" customWidth="1"/>
    <col min="10" max="10" width="3.1640625" bestFit="1" customWidth="1"/>
    <col min="11" max="12" width="9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912</v>
      </c>
      <c r="B2" t="s">
        <v>934</v>
      </c>
      <c r="C2" s="29" t="s">
        <v>736</v>
      </c>
      <c r="D2" t="s">
        <v>737</v>
      </c>
      <c r="E2" t="s">
        <v>1113</v>
      </c>
      <c r="F2" t="s">
        <v>1114</v>
      </c>
      <c r="G2" t="s">
        <v>921</v>
      </c>
      <c r="H2" s="14" t="s">
        <v>738</v>
      </c>
      <c r="I2" s="23">
        <v>43172</v>
      </c>
      <c r="J2" s="27">
        <v>24</v>
      </c>
      <c r="K2" s="4">
        <v>42387</v>
      </c>
      <c r="L2" s="4">
        <v>43117</v>
      </c>
      <c r="M2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33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34"/>
  <dimension ref="A1:P2"/>
  <sheetViews>
    <sheetView workbookViewId="0"/>
  </sheetViews>
  <sheetFormatPr defaultRowHeight="12.75"/>
  <cols>
    <col min="1" max="1" width="22.5" bestFit="1" customWidth="1"/>
    <col min="2" max="2" width="8.83203125" bestFit="1" customWidth="1"/>
    <col min="3" max="3" width="15.6640625" bestFit="1" customWidth="1"/>
    <col min="4" max="4" width="46.33203125" bestFit="1" customWidth="1"/>
    <col min="5" max="5" width="9.1640625" bestFit="1" customWidth="1"/>
    <col min="6" max="6" width="34.5" bestFit="1" customWidth="1"/>
    <col min="7" max="7" width="11" bestFit="1" customWidth="1"/>
    <col min="8" max="8" width="10.1640625" bestFit="1" customWidth="1"/>
    <col min="9" max="9" width="9.1640625" bestFit="1" customWidth="1"/>
    <col min="10" max="10" width="3.1640625" bestFit="1" customWidth="1"/>
    <col min="11" max="11" width="8.1640625" bestFit="1" customWidth="1"/>
    <col min="12" max="12" width="9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905</v>
      </c>
      <c r="B2" t="s">
        <v>934</v>
      </c>
      <c r="C2" s="29" t="s">
        <v>622</v>
      </c>
      <c r="D2" t="s">
        <v>623</v>
      </c>
      <c r="E2" t="s">
        <v>1121</v>
      </c>
      <c r="F2" t="s">
        <v>1122</v>
      </c>
      <c r="G2" t="s">
        <v>914</v>
      </c>
      <c r="H2" s="14" t="s">
        <v>13</v>
      </c>
      <c r="I2" s="23">
        <v>43553</v>
      </c>
      <c r="J2" s="27">
        <v>24</v>
      </c>
      <c r="K2" s="4">
        <v>42795</v>
      </c>
      <c r="L2" s="4">
        <v>43524</v>
      </c>
      <c r="M2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35"/>
  <dimension ref="A1:P5"/>
  <sheetViews>
    <sheetView workbookViewId="0"/>
  </sheetViews>
  <sheetFormatPr defaultRowHeight="12.75"/>
  <cols>
    <col min="1" max="1" width="22.5" bestFit="1" customWidth="1"/>
    <col min="2" max="2" width="12.33203125" bestFit="1" customWidth="1"/>
    <col min="3" max="3" width="15.6640625" bestFit="1" customWidth="1"/>
    <col min="4" max="4" width="49.5" bestFit="1" customWidth="1"/>
    <col min="5" max="5" width="9.1640625" bestFit="1" customWidth="1"/>
    <col min="6" max="6" width="42.1640625" bestFit="1" customWidth="1"/>
    <col min="7" max="7" width="11.83203125" bestFit="1" customWidth="1"/>
    <col min="8" max="8" width="10.1640625" bestFit="1" customWidth="1"/>
    <col min="9" max="9" width="9.1640625" bestFit="1" customWidth="1"/>
    <col min="10" max="10" width="3.1640625" bestFit="1" customWidth="1"/>
    <col min="11" max="11" width="8.1640625" bestFit="1" customWidth="1"/>
    <col min="12" max="12" width="9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822</v>
      </c>
      <c r="B2" t="s">
        <v>1505</v>
      </c>
      <c r="C2" s="29" t="s">
        <v>423</v>
      </c>
      <c r="D2" t="s">
        <v>424</v>
      </c>
      <c r="E2" t="s">
        <v>1123</v>
      </c>
      <c r="F2" t="s">
        <v>1124</v>
      </c>
      <c r="G2" t="s">
        <v>890</v>
      </c>
      <c r="H2" s="14" t="s">
        <v>425</v>
      </c>
      <c r="I2" s="14">
        <v>43250</v>
      </c>
      <c r="J2" s="27">
        <v>24</v>
      </c>
      <c r="K2" s="4">
        <v>42522</v>
      </c>
      <c r="L2" s="4">
        <v>43250</v>
      </c>
      <c r="M2" s="27">
        <v>24</v>
      </c>
    </row>
    <row r="3" spans="1:16">
      <c r="A3" t="s">
        <v>822</v>
      </c>
      <c r="B3" t="s">
        <v>934</v>
      </c>
      <c r="C3" s="29" t="s">
        <v>720</v>
      </c>
      <c r="D3" t="s">
        <v>721</v>
      </c>
      <c r="E3" t="s">
        <v>1125</v>
      </c>
      <c r="F3" t="s">
        <v>1126</v>
      </c>
      <c r="G3" t="s">
        <v>890</v>
      </c>
      <c r="H3" s="14" t="s">
        <v>722</v>
      </c>
      <c r="I3" s="14">
        <v>43621</v>
      </c>
      <c r="J3" s="27">
        <v>24</v>
      </c>
      <c r="K3" s="4">
        <v>42856</v>
      </c>
      <c r="L3" s="4">
        <v>43585</v>
      </c>
      <c r="M3" s="27">
        <v>24</v>
      </c>
    </row>
    <row r="4" spans="1:16">
      <c r="A4" t="s">
        <v>822</v>
      </c>
      <c r="B4" t="s">
        <v>934</v>
      </c>
      <c r="C4" s="29" t="s">
        <v>723</v>
      </c>
      <c r="D4" t="s">
        <v>724</v>
      </c>
      <c r="E4" t="s">
        <v>1127</v>
      </c>
      <c r="F4" t="s">
        <v>1128</v>
      </c>
      <c r="G4" t="s">
        <v>890</v>
      </c>
      <c r="H4" s="14" t="s">
        <v>203</v>
      </c>
      <c r="I4" s="14">
        <v>43584</v>
      </c>
      <c r="J4" s="27">
        <v>24</v>
      </c>
      <c r="K4" s="4">
        <v>42795</v>
      </c>
      <c r="L4" s="4">
        <v>43524</v>
      </c>
      <c r="M4" s="27">
        <v>24</v>
      </c>
    </row>
    <row r="5" spans="1:16">
      <c r="A5" t="s">
        <v>822</v>
      </c>
      <c r="B5" t="s">
        <v>934</v>
      </c>
      <c r="C5" s="29" t="s">
        <v>725</v>
      </c>
      <c r="D5" t="s">
        <v>726</v>
      </c>
      <c r="E5" t="s">
        <v>1129</v>
      </c>
      <c r="F5" t="s">
        <v>1130</v>
      </c>
      <c r="G5" t="s">
        <v>890</v>
      </c>
      <c r="H5" s="14" t="s">
        <v>287</v>
      </c>
      <c r="I5" s="23">
        <v>43616</v>
      </c>
      <c r="J5" s="27">
        <v>24</v>
      </c>
      <c r="K5" s="4">
        <v>42917</v>
      </c>
      <c r="L5" s="4">
        <v>43646</v>
      </c>
      <c r="M5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36"/>
  <dimension ref="A1:P3"/>
  <sheetViews>
    <sheetView workbookViewId="0"/>
  </sheetViews>
  <sheetFormatPr defaultRowHeight="12.75"/>
  <cols>
    <col min="1" max="1" width="24.33203125" bestFit="1" customWidth="1"/>
    <col min="2" max="2" width="12.33203125" bestFit="1" customWidth="1"/>
    <col min="3" max="3" width="15.6640625" bestFit="1" customWidth="1"/>
    <col min="4" max="4" width="35.83203125" bestFit="1" customWidth="1"/>
    <col min="5" max="5" width="9.1640625" bestFit="1" customWidth="1"/>
    <col min="6" max="6" width="28.1640625" bestFit="1" customWidth="1"/>
    <col min="7" max="7" width="13.6640625" bestFit="1" customWidth="1"/>
    <col min="8" max="9" width="10.1640625" bestFit="1" customWidth="1"/>
    <col min="10" max="10" width="3.1640625" bestFit="1" customWidth="1"/>
    <col min="11" max="11" width="9.1640625" bestFit="1" customWidth="1"/>
    <col min="12" max="12" width="10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834</v>
      </c>
      <c r="B2" t="s">
        <v>1505</v>
      </c>
      <c r="C2" s="29" t="s">
        <v>479</v>
      </c>
      <c r="D2" t="s">
        <v>480</v>
      </c>
      <c r="E2" t="s">
        <v>1131</v>
      </c>
      <c r="F2" t="s">
        <v>1132</v>
      </c>
      <c r="G2" t="s">
        <v>902</v>
      </c>
      <c r="H2" s="14" t="s">
        <v>260</v>
      </c>
      <c r="I2" s="14">
        <v>43362</v>
      </c>
      <c r="J2" s="27">
        <v>24</v>
      </c>
      <c r="K2" s="4">
        <v>42633</v>
      </c>
      <c r="L2" s="4">
        <v>43362</v>
      </c>
      <c r="M2" s="27">
        <v>24</v>
      </c>
    </row>
    <row r="3" spans="1:16">
      <c r="A3" t="s">
        <v>834</v>
      </c>
      <c r="B3" t="s">
        <v>934</v>
      </c>
      <c r="C3" s="29" t="s">
        <v>759</v>
      </c>
      <c r="D3" t="s">
        <v>760</v>
      </c>
      <c r="E3" t="s">
        <v>1133</v>
      </c>
      <c r="F3" t="s">
        <v>1134</v>
      </c>
      <c r="G3" t="s">
        <v>902</v>
      </c>
      <c r="H3" s="14" t="s">
        <v>462</v>
      </c>
      <c r="I3" s="14">
        <v>43100</v>
      </c>
      <c r="J3" s="27">
        <v>24</v>
      </c>
      <c r="K3" s="4">
        <v>42339</v>
      </c>
      <c r="L3" s="6">
        <v>43100</v>
      </c>
      <c r="M3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37"/>
  <dimension ref="A1:P6"/>
  <sheetViews>
    <sheetView workbookViewId="0"/>
  </sheetViews>
  <sheetFormatPr defaultRowHeight="12.75"/>
  <cols>
    <col min="1" max="1" width="22.5" bestFit="1" customWidth="1"/>
    <col min="2" max="2" width="12.33203125" bestFit="1" customWidth="1"/>
    <col min="3" max="3" width="15.6640625" bestFit="1" customWidth="1"/>
    <col min="4" max="4" width="61.6640625" bestFit="1" customWidth="1"/>
    <col min="5" max="5" width="9.1640625" bestFit="1" customWidth="1"/>
    <col min="6" max="6" width="45.33203125" bestFit="1" customWidth="1"/>
    <col min="7" max="7" width="11" bestFit="1" customWidth="1"/>
    <col min="8" max="8" width="10.1640625" bestFit="1" customWidth="1"/>
    <col min="9" max="9" width="9.1640625" bestFit="1" customWidth="1"/>
    <col min="10" max="10" width="3.1640625" bestFit="1" customWidth="1"/>
    <col min="11" max="12" width="9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810</v>
      </c>
      <c r="B2" t="s">
        <v>1505</v>
      </c>
      <c r="C2" s="29" t="s">
        <v>344</v>
      </c>
      <c r="D2" t="s">
        <v>345</v>
      </c>
      <c r="E2" t="s">
        <v>1135</v>
      </c>
      <c r="F2" t="s">
        <v>1136</v>
      </c>
      <c r="G2" t="s">
        <v>878</v>
      </c>
      <c r="H2" s="14" t="s">
        <v>346</v>
      </c>
      <c r="I2" s="23">
        <v>43274</v>
      </c>
      <c r="J2" s="27">
        <v>26</v>
      </c>
      <c r="K2" s="4">
        <v>41753</v>
      </c>
      <c r="L2" s="4">
        <v>42908</v>
      </c>
      <c r="M2" s="27">
        <v>26</v>
      </c>
    </row>
    <row r="3" spans="1:16">
      <c r="A3" t="s">
        <v>810</v>
      </c>
      <c r="B3" t="s">
        <v>1505</v>
      </c>
      <c r="C3" s="29" t="s">
        <v>342</v>
      </c>
      <c r="D3" t="s">
        <v>343</v>
      </c>
      <c r="E3" t="s">
        <v>1137</v>
      </c>
      <c r="F3" t="s">
        <v>1138</v>
      </c>
      <c r="G3" t="s">
        <v>878</v>
      </c>
      <c r="H3" s="14" t="s">
        <v>329</v>
      </c>
      <c r="I3" s="14">
        <v>43342</v>
      </c>
      <c r="J3" s="27">
        <v>24</v>
      </c>
      <c r="K3" s="4">
        <v>42675</v>
      </c>
      <c r="L3" s="4">
        <v>43405</v>
      </c>
      <c r="M3" s="27">
        <v>24</v>
      </c>
    </row>
    <row r="4" spans="1:16">
      <c r="A4" t="s">
        <v>810</v>
      </c>
      <c r="B4" t="s">
        <v>1505</v>
      </c>
      <c r="C4" s="29" t="s">
        <v>347</v>
      </c>
      <c r="D4" t="s">
        <v>348</v>
      </c>
      <c r="E4" t="s">
        <v>1139</v>
      </c>
      <c r="F4" t="s">
        <v>1140</v>
      </c>
      <c r="G4" t="s">
        <v>878</v>
      </c>
      <c r="H4" s="14" t="s">
        <v>349</v>
      </c>
      <c r="I4" s="23">
        <v>43115</v>
      </c>
      <c r="J4" s="27">
        <v>24</v>
      </c>
      <c r="K4" s="4">
        <v>42339</v>
      </c>
      <c r="L4" s="4">
        <v>43435</v>
      </c>
      <c r="M4" s="27">
        <v>24</v>
      </c>
    </row>
    <row r="5" spans="1:16">
      <c r="A5" t="s">
        <v>810</v>
      </c>
      <c r="B5" t="s">
        <v>934</v>
      </c>
      <c r="C5" s="29" t="s">
        <v>664</v>
      </c>
      <c r="D5" t="s">
        <v>665</v>
      </c>
      <c r="E5" t="s">
        <v>1141</v>
      </c>
      <c r="F5" t="s">
        <v>1142</v>
      </c>
      <c r="G5" t="s">
        <v>878</v>
      </c>
      <c r="H5" s="14" t="s">
        <v>641</v>
      </c>
      <c r="I5" s="23">
        <v>43230</v>
      </c>
      <c r="J5" s="27">
        <v>24</v>
      </c>
      <c r="K5" s="4">
        <v>42461</v>
      </c>
      <c r="L5" s="4">
        <v>43191</v>
      </c>
      <c r="M5" s="27">
        <v>24</v>
      </c>
    </row>
    <row r="6" spans="1:16">
      <c r="A6" t="s">
        <v>810</v>
      </c>
      <c r="B6" t="s">
        <v>934</v>
      </c>
      <c r="C6" s="29" t="s">
        <v>661</v>
      </c>
      <c r="D6" t="s">
        <v>662</v>
      </c>
      <c r="E6" t="s">
        <v>1143</v>
      </c>
      <c r="F6" t="s">
        <v>1144</v>
      </c>
      <c r="G6" t="s">
        <v>878</v>
      </c>
      <c r="H6" s="14" t="s">
        <v>663</v>
      </c>
      <c r="I6" s="23">
        <v>43642</v>
      </c>
      <c r="J6" s="27">
        <v>24</v>
      </c>
      <c r="K6" s="4">
        <v>42856</v>
      </c>
      <c r="L6" s="4">
        <v>43586</v>
      </c>
      <c r="M6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38"/>
  <dimension ref="A1:P12"/>
  <sheetViews>
    <sheetView workbookViewId="0"/>
  </sheetViews>
  <sheetFormatPr defaultRowHeight="12.75"/>
  <cols>
    <col min="1" max="1" width="24.33203125" bestFit="1" customWidth="1"/>
    <col min="2" max="2" width="12.33203125" bestFit="1" customWidth="1"/>
    <col min="3" max="3" width="15.6640625" bestFit="1" customWidth="1"/>
    <col min="4" max="4" width="44.83203125" bestFit="1" customWidth="1"/>
    <col min="5" max="5" width="9.1640625" bestFit="1" customWidth="1"/>
    <col min="6" max="6" width="28.5" bestFit="1" customWidth="1"/>
    <col min="7" max="7" width="13.33203125" bestFit="1" customWidth="1"/>
    <col min="8" max="9" width="10.1640625" bestFit="1" customWidth="1"/>
    <col min="10" max="10" width="3.1640625" bestFit="1" customWidth="1"/>
    <col min="11" max="11" width="9.1640625" bestFit="1" customWidth="1"/>
    <col min="12" max="12" width="10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783</v>
      </c>
      <c r="B2" t="s">
        <v>1505</v>
      </c>
      <c r="C2" s="29" t="s">
        <v>20</v>
      </c>
      <c r="D2" t="s">
        <v>21</v>
      </c>
      <c r="E2" t="s">
        <v>1145</v>
      </c>
      <c r="F2" t="s">
        <v>1146</v>
      </c>
      <c r="G2" t="s">
        <v>851</v>
      </c>
      <c r="H2" s="14" t="s">
        <v>22</v>
      </c>
      <c r="I2" s="23">
        <v>43131</v>
      </c>
      <c r="J2" s="27">
        <v>24</v>
      </c>
      <c r="K2" s="4">
        <v>42767</v>
      </c>
      <c r="L2" s="4">
        <v>43131</v>
      </c>
      <c r="M2" s="27">
        <v>12</v>
      </c>
    </row>
    <row r="3" spans="1:16">
      <c r="A3" t="s">
        <v>783</v>
      </c>
      <c r="B3" t="s">
        <v>1505</v>
      </c>
      <c r="C3" s="29" t="s">
        <v>233</v>
      </c>
      <c r="D3" t="s">
        <v>234</v>
      </c>
      <c r="E3" t="s">
        <v>1147</v>
      </c>
      <c r="F3" t="s">
        <v>1148</v>
      </c>
      <c r="G3" t="s">
        <v>851</v>
      </c>
      <c r="H3" s="14" t="s">
        <v>215</v>
      </c>
      <c r="I3" s="23">
        <v>43281</v>
      </c>
      <c r="J3" s="27">
        <v>24</v>
      </c>
      <c r="K3" s="4">
        <v>42552</v>
      </c>
      <c r="L3" s="4">
        <v>43281</v>
      </c>
      <c r="M3" s="27">
        <v>24</v>
      </c>
    </row>
    <row r="4" spans="1:16">
      <c r="A4" t="s">
        <v>783</v>
      </c>
      <c r="B4" t="s">
        <v>1505</v>
      </c>
      <c r="C4" s="29" t="s">
        <v>213</v>
      </c>
      <c r="D4" t="s">
        <v>214</v>
      </c>
      <c r="E4" t="s">
        <v>1149</v>
      </c>
      <c r="F4" t="s">
        <v>1150</v>
      </c>
      <c r="G4" t="s">
        <v>851</v>
      </c>
      <c r="H4" s="14" t="s">
        <v>215</v>
      </c>
      <c r="I4" s="23">
        <v>43554</v>
      </c>
      <c r="J4" s="27">
        <v>24</v>
      </c>
      <c r="K4" s="4">
        <v>42826</v>
      </c>
      <c r="L4" s="4">
        <v>43585</v>
      </c>
      <c r="M4" s="27">
        <v>24</v>
      </c>
    </row>
    <row r="5" spans="1:16">
      <c r="A5" t="s">
        <v>783</v>
      </c>
      <c r="B5" t="s">
        <v>1505</v>
      </c>
      <c r="C5" s="29" t="s">
        <v>216</v>
      </c>
      <c r="D5" t="s">
        <v>217</v>
      </c>
      <c r="E5" t="s">
        <v>1151</v>
      </c>
      <c r="F5" t="s">
        <v>1152</v>
      </c>
      <c r="G5" t="s">
        <v>851</v>
      </c>
      <c r="H5" s="14" t="s">
        <v>218</v>
      </c>
      <c r="I5" s="23">
        <v>43281</v>
      </c>
      <c r="J5" s="27">
        <v>24</v>
      </c>
      <c r="K5" s="4">
        <v>42552</v>
      </c>
      <c r="L5" s="4">
        <v>43281</v>
      </c>
      <c r="M5" s="27">
        <v>24</v>
      </c>
    </row>
    <row r="6" spans="1:16">
      <c r="A6" t="s">
        <v>783</v>
      </c>
      <c r="B6" t="s">
        <v>1505</v>
      </c>
      <c r="C6" s="29" t="s">
        <v>219</v>
      </c>
      <c r="D6" t="s">
        <v>220</v>
      </c>
      <c r="E6" t="s">
        <v>1153</v>
      </c>
      <c r="F6" t="s">
        <v>1154</v>
      </c>
      <c r="G6" t="s">
        <v>851</v>
      </c>
      <c r="H6" s="14" t="s">
        <v>221</v>
      </c>
      <c r="I6" s="23">
        <v>43708</v>
      </c>
      <c r="J6" s="27">
        <v>24</v>
      </c>
      <c r="K6" s="4">
        <v>42979</v>
      </c>
      <c r="L6" s="4">
        <v>43708</v>
      </c>
      <c r="M6" s="27">
        <v>24</v>
      </c>
    </row>
    <row r="7" spans="1:16">
      <c r="A7" t="s">
        <v>783</v>
      </c>
      <c r="B7" t="s">
        <v>1505</v>
      </c>
      <c r="C7" s="29" t="s">
        <v>222</v>
      </c>
      <c r="D7" t="s">
        <v>223</v>
      </c>
      <c r="E7" t="s">
        <v>1155</v>
      </c>
      <c r="F7" t="s">
        <v>1156</v>
      </c>
      <c r="G7" t="s">
        <v>851</v>
      </c>
      <c r="H7" s="14" t="s">
        <v>221</v>
      </c>
      <c r="I7" s="23">
        <v>43403</v>
      </c>
      <c r="J7" s="27">
        <v>24</v>
      </c>
      <c r="K7" s="4">
        <v>42675</v>
      </c>
      <c r="L7" s="4">
        <v>43403</v>
      </c>
      <c r="M7" s="27">
        <v>24</v>
      </c>
    </row>
    <row r="8" spans="1:16">
      <c r="A8" t="s">
        <v>783</v>
      </c>
      <c r="B8" t="s">
        <v>1505</v>
      </c>
      <c r="C8" s="29" t="s">
        <v>224</v>
      </c>
      <c r="D8" t="s">
        <v>225</v>
      </c>
      <c r="E8" t="s">
        <v>1157</v>
      </c>
      <c r="F8" t="s">
        <v>1158</v>
      </c>
      <c r="G8" t="s">
        <v>851</v>
      </c>
      <c r="H8" s="14" t="s">
        <v>186</v>
      </c>
      <c r="I8" s="23">
        <v>43554</v>
      </c>
      <c r="J8" s="27">
        <v>24</v>
      </c>
      <c r="K8" s="4">
        <v>42826</v>
      </c>
      <c r="L8" s="4">
        <v>43554</v>
      </c>
      <c r="M8" s="27">
        <v>24</v>
      </c>
    </row>
    <row r="9" spans="1:16">
      <c r="A9" t="s">
        <v>783</v>
      </c>
      <c r="B9" t="s">
        <v>1505</v>
      </c>
      <c r="C9" s="29" t="s">
        <v>226</v>
      </c>
      <c r="D9" t="s">
        <v>227</v>
      </c>
      <c r="E9" t="s">
        <v>1159</v>
      </c>
      <c r="F9" t="s">
        <v>1160</v>
      </c>
      <c r="G9" t="s">
        <v>851</v>
      </c>
      <c r="H9" s="14" t="s">
        <v>228</v>
      </c>
      <c r="I9" s="23">
        <v>43524</v>
      </c>
      <c r="J9" s="27">
        <v>24</v>
      </c>
      <c r="K9" s="4">
        <v>42795</v>
      </c>
      <c r="L9" s="4">
        <v>43524</v>
      </c>
      <c r="M9" s="27">
        <v>24</v>
      </c>
    </row>
    <row r="10" spans="1:16" ht="13.5" thickBot="1">
      <c r="A10" t="s">
        <v>783</v>
      </c>
      <c r="B10" t="s">
        <v>1505</v>
      </c>
      <c r="C10" s="29" t="s">
        <v>229</v>
      </c>
      <c r="D10" t="s">
        <v>230</v>
      </c>
      <c r="E10" t="s">
        <v>1161</v>
      </c>
      <c r="F10" t="s">
        <v>1162</v>
      </c>
      <c r="G10" t="s">
        <v>851</v>
      </c>
      <c r="H10" s="14" t="s">
        <v>115</v>
      </c>
      <c r="I10" s="23">
        <v>43646</v>
      </c>
      <c r="J10" s="27">
        <v>24</v>
      </c>
      <c r="K10" s="4">
        <v>42917</v>
      </c>
      <c r="L10" s="4">
        <v>43646</v>
      </c>
      <c r="M10" s="27">
        <v>24</v>
      </c>
    </row>
    <row r="11" spans="1:16" ht="13.5" thickBot="1">
      <c r="A11" t="s">
        <v>783</v>
      </c>
      <c r="B11" t="s">
        <v>1505</v>
      </c>
      <c r="C11" s="31" t="s">
        <v>231</v>
      </c>
      <c r="D11" s="12" t="s">
        <v>232</v>
      </c>
      <c r="E11" t="s">
        <v>1163</v>
      </c>
      <c r="F11" t="s">
        <v>1164</v>
      </c>
      <c r="G11" t="s">
        <v>851</v>
      </c>
      <c r="H11" s="14" t="s">
        <v>19</v>
      </c>
      <c r="I11" s="23">
        <v>43677</v>
      </c>
      <c r="J11" s="27">
        <v>24</v>
      </c>
      <c r="K11" s="4">
        <v>42948</v>
      </c>
      <c r="L11" s="4">
        <v>43677</v>
      </c>
      <c r="M11" s="27">
        <v>24</v>
      </c>
    </row>
    <row r="12" spans="1:16">
      <c r="A12" t="s">
        <v>783</v>
      </c>
      <c r="B12" t="s">
        <v>1505</v>
      </c>
      <c r="C12" s="29" t="s">
        <v>235</v>
      </c>
      <c r="D12" t="s">
        <v>236</v>
      </c>
      <c r="E12" t="s">
        <v>1165</v>
      </c>
      <c r="F12" t="s">
        <v>1166</v>
      </c>
      <c r="G12" t="s">
        <v>851</v>
      </c>
      <c r="H12" s="14" t="s">
        <v>140</v>
      </c>
      <c r="I12" s="23">
        <v>43404</v>
      </c>
      <c r="J12" s="27">
        <v>24</v>
      </c>
      <c r="K12" s="4">
        <v>42675</v>
      </c>
      <c r="L12" s="4">
        <v>43404</v>
      </c>
      <c r="M12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39"/>
  <dimension ref="A1:P3"/>
  <sheetViews>
    <sheetView workbookViewId="0"/>
  </sheetViews>
  <sheetFormatPr defaultRowHeight="12.75"/>
  <cols>
    <col min="1" max="1" width="28.83203125" bestFit="1" customWidth="1"/>
    <col min="2" max="2" width="8.83203125" bestFit="1" customWidth="1"/>
    <col min="3" max="3" width="15.6640625" bestFit="1" customWidth="1"/>
    <col min="4" max="4" width="22.6640625" bestFit="1" customWidth="1"/>
    <col min="5" max="5" width="9.1640625" bestFit="1" customWidth="1"/>
    <col min="6" max="6" width="15.33203125" bestFit="1" customWidth="1"/>
    <col min="7" max="7" width="17.5" bestFit="1" customWidth="1"/>
    <col min="8" max="8" width="10.1640625" bestFit="1" customWidth="1"/>
    <col min="9" max="9" width="9.1640625" bestFit="1" customWidth="1"/>
    <col min="10" max="10" width="3.1640625" bestFit="1" customWidth="1"/>
    <col min="11" max="11" width="10.1640625" bestFit="1" customWidth="1"/>
    <col min="12" max="12" width="9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813</v>
      </c>
      <c r="B2" t="s">
        <v>934</v>
      </c>
      <c r="C2" s="29" t="s">
        <v>495</v>
      </c>
      <c r="D2" t="s">
        <v>496</v>
      </c>
      <c r="E2" t="s">
        <v>1167</v>
      </c>
      <c r="F2" t="s">
        <v>1168</v>
      </c>
      <c r="G2" t="s">
        <v>881</v>
      </c>
      <c r="H2" s="14" t="s">
        <v>52</v>
      </c>
      <c r="I2" s="23">
        <v>43189</v>
      </c>
      <c r="J2" s="27">
        <v>24</v>
      </c>
      <c r="K2" s="4">
        <v>42825</v>
      </c>
      <c r="L2" s="4">
        <v>42825</v>
      </c>
      <c r="M2" s="27">
        <v>36</v>
      </c>
    </row>
    <row r="3" spans="1:16">
      <c r="A3" t="s">
        <v>813</v>
      </c>
      <c r="B3" t="s">
        <v>934</v>
      </c>
      <c r="C3" s="29" t="s">
        <v>673</v>
      </c>
      <c r="D3" t="s">
        <v>674</v>
      </c>
      <c r="E3" t="s">
        <v>1169</v>
      </c>
      <c r="F3" t="s">
        <v>1170</v>
      </c>
      <c r="G3" t="s">
        <v>881</v>
      </c>
      <c r="H3" s="14" t="s">
        <v>462</v>
      </c>
      <c r="I3" s="14">
        <v>43131</v>
      </c>
      <c r="J3" s="27">
        <v>24</v>
      </c>
      <c r="K3" s="4">
        <v>42338</v>
      </c>
      <c r="L3" s="6">
        <v>43131</v>
      </c>
      <c r="M3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40"/>
  <dimension ref="A1:P5"/>
  <sheetViews>
    <sheetView workbookViewId="0"/>
  </sheetViews>
  <sheetFormatPr defaultRowHeight="12.75"/>
  <cols>
    <col min="1" max="1" width="24.1640625" bestFit="1" customWidth="1"/>
    <col min="2" max="2" width="12.33203125" bestFit="1" customWidth="1"/>
    <col min="3" max="3" width="15.6640625" bestFit="1" customWidth="1"/>
    <col min="4" max="4" width="60.33203125" bestFit="1" customWidth="1"/>
    <col min="5" max="5" width="9.1640625" bestFit="1" customWidth="1"/>
    <col min="6" max="6" width="67.83203125" bestFit="1" customWidth="1"/>
    <col min="7" max="7" width="13.6640625" bestFit="1" customWidth="1"/>
    <col min="8" max="9" width="10.1640625" bestFit="1" customWidth="1"/>
    <col min="10" max="10" width="3.1640625" bestFit="1" customWidth="1"/>
    <col min="11" max="12" width="9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823</v>
      </c>
      <c r="B2" t="s">
        <v>1505</v>
      </c>
      <c r="C2" s="29" t="s">
        <v>92</v>
      </c>
      <c r="D2" t="s">
        <v>93</v>
      </c>
      <c r="E2" t="s">
        <v>1171</v>
      </c>
      <c r="F2" t="s">
        <v>1172</v>
      </c>
      <c r="G2" t="s">
        <v>891</v>
      </c>
      <c r="H2" s="14" t="s">
        <v>94</v>
      </c>
      <c r="I2" s="14">
        <v>43131</v>
      </c>
      <c r="J2" s="27">
        <v>24</v>
      </c>
      <c r="K2" s="4">
        <v>41944</v>
      </c>
      <c r="L2" s="6">
        <v>43131</v>
      </c>
      <c r="M2" s="27">
        <v>26</v>
      </c>
    </row>
    <row r="3" spans="1:16">
      <c r="A3" t="s">
        <v>823</v>
      </c>
      <c r="B3" t="s">
        <v>1505</v>
      </c>
      <c r="C3" s="29" t="s">
        <v>426</v>
      </c>
      <c r="D3" t="s">
        <v>427</v>
      </c>
      <c r="E3" t="s">
        <v>1173</v>
      </c>
      <c r="F3" t="s">
        <v>1174</v>
      </c>
      <c r="G3" t="s">
        <v>891</v>
      </c>
      <c r="H3" s="14" t="s">
        <v>428</v>
      </c>
      <c r="I3" s="14">
        <v>43125</v>
      </c>
      <c r="J3" s="27">
        <v>24</v>
      </c>
      <c r="K3" s="4">
        <v>42370</v>
      </c>
      <c r="L3" s="6">
        <v>43125</v>
      </c>
      <c r="M3" s="27">
        <v>24</v>
      </c>
    </row>
    <row r="4" spans="1:16">
      <c r="A4" t="s">
        <v>823</v>
      </c>
      <c r="B4" t="s">
        <v>1505</v>
      </c>
      <c r="C4" s="29" t="s">
        <v>429</v>
      </c>
      <c r="D4" t="s">
        <v>430</v>
      </c>
      <c r="E4" t="s">
        <v>1175</v>
      </c>
      <c r="F4" t="s">
        <v>1176</v>
      </c>
      <c r="G4" t="s">
        <v>891</v>
      </c>
      <c r="H4" s="14" t="s">
        <v>245</v>
      </c>
      <c r="I4" s="23">
        <v>43404</v>
      </c>
      <c r="J4" s="27">
        <v>24</v>
      </c>
      <c r="K4" s="4">
        <v>42767</v>
      </c>
      <c r="L4" s="4">
        <v>43496</v>
      </c>
      <c r="M4" s="27">
        <v>24</v>
      </c>
    </row>
    <row r="5" spans="1:16">
      <c r="A5" t="s">
        <v>823</v>
      </c>
      <c r="B5" t="s">
        <v>1505</v>
      </c>
      <c r="C5" s="29" t="s">
        <v>95</v>
      </c>
      <c r="D5" t="s">
        <v>96</v>
      </c>
      <c r="E5" t="s">
        <v>1177</v>
      </c>
      <c r="F5" t="s">
        <v>1178</v>
      </c>
      <c r="G5" t="s">
        <v>891</v>
      </c>
      <c r="H5" s="14" t="s">
        <v>97</v>
      </c>
      <c r="I5" s="23">
        <v>43524</v>
      </c>
      <c r="J5" s="27">
        <v>24</v>
      </c>
      <c r="K5" s="4">
        <v>42736</v>
      </c>
      <c r="L5" s="4">
        <v>43524</v>
      </c>
      <c r="M5" s="27">
        <v>36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41"/>
  <dimension ref="A1:P3"/>
  <sheetViews>
    <sheetView workbookViewId="0"/>
  </sheetViews>
  <sheetFormatPr defaultRowHeight="12.75"/>
  <cols>
    <col min="1" max="1" width="23.1640625" bestFit="1" customWidth="1"/>
    <col min="2" max="2" width="12.33203125" bestFit="1" customWidth="1"/>
    <col min="3" max="3" width="15.6640625" bestFit="1" customWidth="1"/>
    <col min="4" max="4" width="38.5" bestFit="1" customWidth="1"/>
    <col min="5" max="5" width="9.1640625" bestFit="1" customWidth="1"/>
    <col min="6" max="6" width="17.5" bestFit="1" customWidth="1"/>
    <col min="7" max="7" width="12" bestFit="1" customWidth="1"/>
    <col min="8" max="9" width="10.1640625" bestFit="1" customWidth="1"/>
    <col min="10" max="10" width="3.1640625" bestFit="1" customWidth="1"/>
    <col min="11" max="12" width="9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778</v>
      </c>
      <c r="B2" t="s">
        <v>1505</v>
      </c>
      <c r="C2" s="29" t="s">
        <v>198</v>
      </c>
      <c r="D2" t="s">
        <v>199</v>
      </c>
      <c r="E2" t="s">
        <v>1179</v>
      </c>
      <c r="F2" t="s">
        <v>1180</v>
      </c>
      <c r="G2" t="s">
        <v>846</v>
      </c>
      <c r="H2" s="14" t="s">
        <v>200</v>
      </c>
      <c r="I2" s="14">
        <v>43524</v>
      </c>
      <c r="J2" s="27">
        <v>24</v>
      </c>
      <c r="K2" s="4">
        <v>42794</v>
      </c>
      <c r="L2" s="22">
        <v>43524</v>
      </c>
      <c r="M2" s="27">
        <v>24</v>
      </c>
    </row>
    <row r="3" spans="1:16">
      <c r="A3" t="s">
        <v>778</v>
      </c>
      <c r="B3" t="s">
        <v>1505</v>
      </c>
      <c r="C3" s="29" t="s">
        <v>201</v>
      </c>
      <c r="D3" t="s">
        <v>202</v>
      </c>
      <c r="E3" t="s">
        <v>1181</v>
      </c>
      <c r="F3" t="s">
        <v>1182</v>
      </c>
      <c r="G3" t="s">
        <v>846</v>
      </c>
      <c r="H3" s="14" t="s">
        <v>67</v>
      </c>
      <c r="I3" s="14">
        <v>43433</v>
      </c>
      <c r="J3" s="27">
        <v>24</v>
      </c>
      <c r="K3" s="4">
        <v>42762</v>
      </c>
      <c r="L3" s="22">
        <v>43550</v>
      </c>
      <c r="M3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42"/>
  <dimension ref="A1:P5"/>
  <sheetViews>
    <sheetView workbookViewId="0"/>
  </sheetViews>
  <sheetFormatPr defaultRowHeight="12.75"/>
  <cols>
    <col min="1" max="1" width="22.83203125" bestFit="1" customWidth="1"/>
    <col min="2" max="2" width="12.33203125" bestFit="1" customWidth="1"/>
    <col min="3" max="3" width="15.6640625" bestFit="1" customWidth="1"/>
    <col min="4" max="4" width="61.6640625" bestFit="1" customWidth="1"/>
    <col min="5" max="5" width="9.1640625" bestFit="1" customWidth="1"/>
    <col min="6" max="6" width="46.83203125" bestFit="1" customWidth="1"/>
    <col min="7" max="7" width="12" bestFit="1" customWidth="1"/>
    <col min="8" max="9" width="10.1640625" bestFit="1" customWidth="1"/>
    <col min="10" max="10" width="3.1640625" bestFit="1" customWidth="1"/>
    <col min="11" max="11" width="9.1640625" bestFit="1" customWidth="1"/>
    <col min="12" max="12" width="10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827</v>
      </c>
      <c r="B2" t="s">
        <v>1505</v>
      </c>
      <c r="C2" s="29" t="s">
        <v>455</v>
      </c>
      <c r="D2" t="s">
        <v>456</v>
      </c>
      <c r="E2" t="s">
        <v>1183</v>
      </c>
      <c r="F2" t="s">
        <v>1184</v>
      </c>
      <c r="G2" t="s">
        <v>895</v>
      </c>
      <c r="H2" s="14" t="s">
        <v>457</v>
      </c>
      <c r="I2" s="23">
        <v>43139</v>
      </c>
      <c r="J2" s="27">
        <v>24</v>
      </c>
      <c r="K2" s="4">
        <v>42370</v>
      </c>
      <c r="L2" s="4">
        <v>43101</v>
      </c>
      <c r="M2" s="27">
        <v>24</v>
      </c>
    </row>
    <row r="3" spans="1:16">
      <c r="A3" t="s">
        <v>827</v>
      </c>
      <c r="B3" t="s">
        <v>1505</v>
      </c>
      <c r="C3" s="29" t="s">
        <v>453</v>
      </c>
      <c r="D3" t="s">
        <v>454</v>
      </c>
      <c r="E3" t="s">
        <v>1185</v>
      </c>
      <c r="F3" t="s">
        <v>1186</v>
      </c>
      <c r="G3" t="s">
        <v>895</v>
      </c>
      <c r="H3" s="14" t="s">
        <v>58</v>
      </c>
      <c r="I3" s="14">
        <v>43601</v>
      </c>
      <c r="J3" s="27">
        <v>24</v>
      </c>
      <c r="K3" s="4">
        <v>42853</v>
      </c>
      <c r="L3" s="4">
        <v>43601</v>
      </c>
      <c r="M3" s="27">
        <v>24</v>
      </c>
    </row>
    <row r="4" spans="1:16">
      <c r="A4" t="s">
        <v>827</v>
      </c>
      <c r="B4" t="s">
        <v>1505</v>
      </c>
      <c r="C4" s="29" t="s">
        <v>458</v>
      </c>
      <c r="D4" t="s">
        <v>459</v>
      </c>
      <c r="E4" t="s">
        <v>1187</v>
      </c>
      <c r="F4" t="s">
        <v>1188</v>
      </c>
      <c r="G4" t="s">
        <v>895</v>
      </c>
      <c r="H4" s="14" t="s">
        <v>121</v>
      </c>
      <c r="I4" s="14">
        <v>43799</v>
      </c>
      <c r="J4" s="27">
        <v>24</v>
      </c>
      <c r="K4" s="4">
        <v>42278</v>
      </c>
      <c r="L4" s="4">
        <v>43799</v>
      </c>
      <c r="M4" s="27">
        <v>24</v>
      </c>
    </row>
    <row r="5" spans="1:16">
      <c r="A5" t="s">
        <v>827</v>
      </c>
      <c r="B5" t="s">
        <v>1505</v>
      </c>
      <c r="C5" s="29" t="s">
        <v>460</v>
      </c>
      <c r="D5" t="s">
        <v>461</v>
      </c>
      <c r="E5" t="s">
        <v>1189</v>
      </c>
      <c r="F5" t="s">
        <v>1190</v>
      </c>
      <c r="G5" t="s">
        <v>895</v>
      </c>
      <c r="H5" s="14" t="s">
        <v>462</v>
      </c>
      <c r="I5" s="23">
        <v>43100</v>
      </c>
      <c r="J5" s="27">
        <v>24</v>
      </c>
      <c r="K5" s="4">
        <v>42339</v>
      </c>
      <c r="L5" s="4">
        <v>43100</v>
      </c>
      <c r="M5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43"/>
  <dimension ref="A1:P5"/>
  <sheetViews>
    <sheetView workbookViewId="0"/>
  </sheetViews>
  <sheetFormatPr defaultRowHeight="12.75"/>
  <cols>
    <col min="1" max="1" width="24.5" bestFit="1" customWidth="1"/>
    <col min="2" max="2" width="12.33203125" bestFit="1" customWidth="1"/>
    <col min="3" max="3" width="15.6640625" bestFit="1" customWidth="1"/>
    <col min="4" max="4" width="40" bestFit="1" customWidth="1"/>
    <col min="5" max="5" width="9.1640625" bestFit="1" customWidth="1"/>
    <col min="6" max="6" width="24" bestFit="1" customWidth="1"/>
    <col min="7" max="7" width="14" bestFit="1" customWidth="1"/>
    <col min="8" max="8" width="10.1640625" bestFit="1" customWidth="1"/>
    <col min="9" max="9" width="9.1640625" bestFit="1" customWidth="1"/>
    <col min="10" max="10" width="3.1640625" bestFit="1" customWidth="1"/>
    <col min="11" max="12" width="10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791</v>
      </c>
      <c r="B2" t="s">
        <v>1505</v>
      </c>
      <c r="C2" s="29" t="s">
        <v>264</v>
      </c>
      <c r="D2" t="s">
        <v>265</v>
      </c>
      <c r="E2" t="s">
        <v>1191</v>
      </c>
      <c r="F2" t="s">
        <v>1192</v>
      </c>
      <c r="G2" t="s">
        <v>859</v>
      </c>
      <c r="H2" s="14" t="s">
        <v>266</v>
      </c>
      <c r="I2" s="23">
        <v>43251</v>
      </c>
      <c r="J2" s="27">
        <v>24</v>
      </c>
      <c r="K2" s="4">
        <v>42492</v>
      </c>
      <c r="L2" s="4">
        <v>43251</v>
      </c>
      <c r="M2" s="27">
        <v>24</v>
      </c>
    </row>
    <row r="3" spans="1:16">
      <c r="A3" t="s">
        <v>791</v>
      </c>
      <c r="B3" t="s">
        <v>934</v>
      </c>
      <c r="C3" s="29" t="s">
        <v>575</v>
      </c>
      <c r="D3" t="s">
        <v>576</v>
      </c>
      <c r="E3" t="s">
        <v>1193</v>
      </c>
      <c r="F3" t="s">
        <v>1194</v>
      </c>
      <c r="G3" t="s">
        <v>859</v>
      </c>
      <c r="H3" s="14" t="s">
        <v>494</v>
      </c>
      <c r="I3" s="14">
        <v>43189</v>
      </c>
      <c r="J3" s="27">
        <v>24</v>
      </c>
      <c r="K3" s="4">
        <v>42724</v>
      </c>
      <c r="L3" s="6">
        <v>43189</v>
      </c>
      <c r="M3" s="27">
        <v>24</v>
      </c>
    </row>
    <row r="4" spans="1:16">
      <c r="A4" t="s">
        <v>791</v>
      </c>
      <c r="B4" t="s">
        <v>934</v>
      </c>
      <c r="C4" s="29" t="s">
        <v>577</v>
      </c>
      <c r="D4" t="s">
        <v>578</v>
      </c>
      <c r="E4" t="s">
        <v>1195</v>
      </c>
      <c r="F4" t="s">
        <v>1196</v>
      </c>
      <c r="G4" t="s">
        <v>859</v>
      </c>
      <c r="H4" s="14" t="s">
        <v>133</v>
      </c>
      <c r="I4" s="23">
        <v>43496</v>
      </c>
      <c r="J4" s="27">
        <v>24</v>
      </c>
      <c r="K4" s="4">
        <v>42734</v>
      </c>
      <c r="L4" s="4">
        <v>43463</v>
      </c>
      <c r="M4" s="27">
        <v>24</v>
      </c>
    </row>
    <row r="5" spans="1:16">
      <c r="A5" t="s">
        <v>791</v>
      </c>
      <c r="B5" t="s">
        <v>934</v>
      </c>
      <c r="C5" s="29" t="s">
        <v>579</v>
      </c>
      <c r="D5" t="s">
        <v>580</v>
      </c>
      <c r="E5" t="s">
        <v>1197</v>
      </c>
      <c r="F5" t="s">
        <v>1198</v>
      </c>
      <c r="G5" t="s">
        <v>859</v>
      </c>
      <c r="H5" s="14" t="s">
        <v>180</v>
      </c>
      <c r="I5" s="23">
        <v>43677</v>
      </c>
      <c r="J5" s="27">
        <v>24</v>
      </c>
      <c r="K5" s="4">
        <v>42915</v>
      </c>
      <c r="L5" s="4">
        <v>43644</v>
      </c>
      <c r="M5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44"/>
  <dimension ref="A1:P3"/>
  <sheetViews>
    <sheetView workbookViewId="0"/>
  </sheetViews>
  <sheetFormatPr defaultRowHeight="12.75"/>
  <cols>
    <col min="1" max="1" width="21.1640625" bestFit="1" customWidth="1"/>
    <col min="2" max="2" width="12.33203125" bestFit="1" customWidth="1"/>
    <col min="3" max="3" width="15.6640625" bestFit="1" customWidth="1"/>
    <col min="4" max="4" width="40.83203125" bestFit="1" customWidth="1"/>
    <col min="5" max="5" width="9.1640625" bestFit="1" customWidth="1"/>
    <col min="6" max="6" width="26.6640625" bestFit="1" customWidth="1"/>
    <col min="7" max="7" width="10.6640625" bestFit="1" customWidth="1"/>
    <col min="8" max="8" width="10.1640625" bestFit="1" customWidth="1"/>
    <col min="9" max="9" width="9.1640625" bestFit="1" customWidth="1"/>
    <col min="10" max="10" width="3.1640625" bestFit="1" customWidth="1"/>
    <col min="11" max="12" width="9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788</v>
      </c>
      <c r="B2" t="s">
        <v>1505</v>
      </c>
      <c r="C2" s="29" t="s">
        <v>258</v>
      </c>
      <c r="D2" t="s">
        <v>259</v>
      </c>
      <c r="E2" t="s">
        <v>1199</v>
      </c>
      <c r="F2" t="s">
        <v>1200</v>
      </c>
      <c r="G2" t="s">
        <v>856</v>
      </c>
      <c r="H2" s="14" t="s">
        <v>260</v>
      </c>
      <c r="I2" s="23">
        <v>43685</v>
      </c>
      <c r="J2" s="27">
        <v>24</v>
      </c>
      <c r="K2" s="4">
        <v>42746</v>
      </c>
      <c r="L2" s="4">
        <v>43685</v>
      </c>
      <c r="M2" s="27">
        <v>24</v>
      </c>
    </row>
    <row r="3" spans="1:16">
      <c r="A3" t="s">
        <v>788</v>
      </c>
      <c r="B3" t="s">
        <v>934</v>
      </c>
      <c r="C3" s="29" t="s">
        <v>568</v>
      </c>
      <c r="D3" t="s">
        <v>569</v>
      </c>
      <c r="E3" t="s">
        <v>1201</v>
      </c>
      <c r="F3" t="s">
        <v>1202</v>
      </c>
      <c r="G3" t="s">
        <v>856</v>
      </c>
      <c r="H3" s="14" t="s">
        <v>260</v>
      </c>
      <c r="I3" s="23">
        <v>43131</v>
      </c>
      <c r="J3" s="27">
        <v>24</v>
      </c>
      <c r="K3" s="4">
        <v>42761</v>
      </c>
      <c r="L3" s="4">
        <v>43131</v>
      </c>
      <c r="M3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45"/>
  <dimension ref="A1:P4"/>
  <sheetViews>
    <sheetView workbookViewId="0"/>
  </sheetViews>
  <sheetFormatPr defaultRowHeight="12.75"/>
  <cols>
    <col min="1" max="1" width="20.1640625" bestFit="1" customWidth="1"/>
    <col min="2" max="2" width="8.83203125" bestFit="1" customWidth="1"/>
    <col min="3" max="3" width="15.6640625" bestFit="1" customWidth="1"/>
    <col min="4" max="4" width="28.6640625" bestFit="1" customWidth="1"/>
    <col min="5" max="5" width="9.1640625" bestFit="1" customWidth="1"/>
    <col min="6" max="6" width="20.33203125" bestFit="1" customWidth="1"/>
    <col min="7" max="7" width="9.6640625" bestFit="1" customWidth="1"/>
    <col min="8" max="9" width="10.1640625" bestFit="1" customWidth="1"/>
    <col min="10" max="10" width="3.1640625" bestFit="1" customWidth="1"/>
    <col min="11" max="12" width="9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789</v>
      </c>
      <c r="B2" t="s">
        <v>934</v>
      </c>
      <c r="C2" s="29" t="s">
        <v>570</v>
      </c>
      <c r="D2" t="s">
        <v>539</v>
      </c>
      <c r="E2" t="s">
        <v>1203</v>
      </c>
      <c r="F2" t="s">
        <v>1204</v>
      </c>
      <c r="G2" t="s">
        <v>857</v>
      </c>
      <c r="H2" s="14" t="s">
        <v>67</v>
      </c>
      <c r="I2" s="23">
        <v>43433</v>
      </c>
      <c r="J2" s="27">
        <v>24</v>
      </c>
      <c r="K2" s="4">
        <v>43075</v>
      </c>
      <c r="L2" s="4">
        <v>43805</v>
      </c>
      <c r="M2" s="27">
        <v>24</v>
      </c>
    </row>
    <row r="3" spans="1:16">
      <c r="A3" t="s">
        <v>789</v>
      </c>
      <c r="B3" t="s">
        <v>934</v>
      </c>
      <c r="C3" s="29" t="s">
        <v>571</v>
      </c>
      <c r="D3" t="s">
        <v>572</v>
      </c>
      <c r="E3" t="s">
        <v>1205</v>
      </c>
      <c r="F3" t="s">
        <v>1206</v>
      </c>
      <c r="G3" t="s">
        <v>857</v>
      </c>
      <c r="H3" s="14" t="s">
        <v>521</v>
      </c>
      <c r="I3" s="23">
        <v>43646</v>
      </c>
      <c r="J3" s="27">
        <v>24</v>
      </c>
      <c r="K3" s="4">
        <v>42884</v>
      </c>
      <c r="L3" s="4">
        <v>43614</v>
      </c>
      <c r="M3" s="27">
        <v>24</v>
      </c>
    </row>
    <row r="4" spans="1:16">
      <c r="A4" t="s">
        <v>789</v>
      </c>
      <c r="B4" t="s">
        <v>934</v>
      </c>
      <c r="C4" s="29" t="s">
        <v>573</v>
      </c>
      <c r="D4" t="s">
        <v>574</v>
      </c>
      <c r="E4" t="s">
        <v>1207</v>
      </c>
      <c r="F4" t="s">
        <v>1208</v>
      </c>
      <c r="G4" t="s">
        <v>857</v>
      </c>
      <c r="H4" s="14" t="s">
        <v>521</v>
      </c>
      <c r="I4" s="23">
        <v>43646</v>
      </c>
      <c r="J4" s="27">
        <v>24</v>
      </c>
      <c r="K4" s="4">
        <v>42861</v>
      </c>
      <c r="L4" s="4">
        <v>43591</v>
      </c>
      <c r="M4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46"/>
  <dimension ref="A1:P4"/>
  <sheetViews>
    <sheetView workbookViewId="0"/>
  </sheetViews>
  <sheetFormatPr defaultRowHeight="12.75"/>
  <cols>
    <col min="1" max="1" width="26.5" bestFit="1" customWidth="1"/>
    <col min="2" max="2" width="12.33203125" bestFit="1" customWidth="1"/>
    <col min="3" max="3" width="15.6640625" bestFit="1" customWidth="1"/>
    <col min="4" max="4" width="39.5" bestFit="1" customWidth="1"/>
    <col min="5" max="5" width="9.1640625" bestFit="1" customWidth="1"/>
    <col min="6" max="6" width="21.33203125" bestFit="1" customWidth="1"/>
    <col min="7" max="7" width="16.1640625" bestFit="1" customWidth="1"/>
    <col min="8" max="8" width="10.1640625" bestFit="1" customWidth="1"/>
    <col min="9" max="9" width="9.1640625" bestFit="1" customWidth="1"/>
    <col min="10" max="10" width="3.1640625" bestFit="1" customWidth="1"/>
    <col min="11" max="11" width="8.1640625" bestFit="1" customWidth="1"/>
    <col min="12" max="12" width="9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824</v>
      </c>
      <c r="B2" t="s">
        <v>1505</v>
      </c>
      <c r="C2" s="29" t="s">
        <v>431</v>
      </c>
      <c r="D2" t="s">
        <v>432</v>
      </c>
      <c r="E2" t="s">
        <v>1209</v>
      </c>
      <c r="F2" t="s">
        <v>1210</v>
      </c>
      <c r="G2" t="s">
        <v>892</v>
      </c>
      <c r="H2" s="14" t="s">
        <v>46</v>
      </c>
      <c r="I2" s="14">
        <v>43263</v>
      </c>
      <c r="J2" s="27">
        <v>24</v>
      </c>
      <c r="K2" s="4">
        <v>42887</v>
      </c>
      <c r="L2" s="11">
        <v>43616</v>
      </c>
      <c r="M2" s="27">
        <v>24</v>
      </c>
    </row>
    <row r="3" spans="1:16">
      <c r="A3" t="s">
        <v>824</v>
      </c>
      <c r="B3" t="s">
        <v>1505</v>
      </c>
      <c r="C3" s="29" t="s">
        <v>433</v>
      </c>
      <c r="D3" t="s">
        <v>434</v>
      </c>
      <c r="E3" t="s">
        <v>1211</v>
      </c>
      <c r="F3" t="s">
        <v>1212</v>
      </c>
      <c r="G3" t="s">
        <v>892</v>
      </c>
      <c r="H3" s="14" t="s">
        <v>435</v>
      </c>
      <c r="I3" s="14">
        <v>43506</v>
      </c>
      <c r="J3" s="27">
        <v>24</v>
      </c>
      <c r="K3" s="4">
        <v>42767</v>
      </c>
      <c r="L3" s="11">
        <v>43495</v>
      </c>
      <c r="M3" s="27">
        <v>24</v>
      </c>
    </row>
    <row r="4" spans="1:16">
      <c r="A4" t="s">
        <v>824</v>
      </c>
      <c r="B4" t="s">
        <v>1505</v>
      </c>
      <c r="C4" s="29" t="s">
        <v>436</v>
      </c>
      <c r="D4" t="s">
        <v>437</v>
      </c>
      <c r="E4" t="s">
        <v>1213</v>
      </c>
      <c r="F4" t="s">
        <v>1214</v>
      </c>
      <c r="G4" t="s">
        <v>892</v>
      </c>
      <c r="H4" s="14" t="s">
        <v>438</v>
      </c>
      <c r="I4" s="14">
        <v>43595</v>
      </c>
      <c r="J4" s="27">
        <v>24</v>
      </c>
      <c r="K4" s="4">
        <v>42856</v>
      </c>
      <c r="L4" s="4">
        <v>43595</v>
      </c>
      <c r="M4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47"/>
  <dimension ref="A1:P11"/>
  <sheetViews>
    <sheetView workbookViewId="0"/>
  </sheetViews>
  <sheetFormatPr defaultRowHeight="12.75"/>
  <cols>
    <col min="1" max="1" width="29" bestFit="1" customWidth="1"/>
    <col min="2" max="2" width="12.33203125" bestFit="1" customWidth="1"/>
    <col min="3" max="3" width="15.6640625" bestFit="1" customWidth="1"/>
    <col min="4" max="4" width="50.83203125" bestFit="1" customWidth="1"/>
    <col min="5" max="5" width="9.1640625" bestFit="1" customWidth="1"/>
    <col min="6" max="6" width="41.6640625" bestFit="1" customWidth="1"/>
    <col min="7" max="7" width="17" bestFit="1" customWidth="1"/>
    <col min="8" max="9" width="10.1640625" bestFit="1" customWidth="1"/>
    <col min="10" max="10" width="3.1640625" bestFit="1" customWidth="1"/>
    <col min="11" max="11" width="9.1640625" bestFit="1" customWidth="1"/>
    <col min="12" max="12" width="10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804</v>
      </c>
      <c r="B2" t="s">
        <v>1505</v>
      </c>
      <c r="C2" s="29" t="s">
        <v>290</v>
      </c>
      <c r="D2" t="s">
        <v>291</v>
      </c>
      <c r="E2" t="s">
        <v>1215</v>
      </c>
      <c r="F2" t="s">
        <v>1216</v>
      </c>
      <c r="G2" t="s">
        <v>872</v>
      </c>
      <c r="H2" s="14" t="s">
        <v>55</v>
      </c>
      <c r="I2" s="23">
        <v>43252</v>
      </c>
      <c r="J2" s="27">
        <v>24</v>
      </c>
      <c r="K2" s="4">
        <v>42529</v>
      </c>
      <c r="L2" s="4">
        <v>43252</v>
      </c>
      <c r="M2" s="27">
        <v>24</v>
      </c>
    </row>
    <row r="3" spans="1:16">
      <c r="A3" t="s">
        <v>804</v>
      </c>
      <c r="B3" t="s">
        <v>1505</v>
      </c>
      <c r="C3" s="29" t="s">
        <v>297</v>
      </c>
      <c r="D3" t="s">
        <v>298</v>
      </c>
      <c r="E3" t="s">
        <v>1217</v>
      </c>
      <c r="F3" t="s">
        <v>1218</v>
      </c>
      <c r="G3" t="s">
        <v>872</v>
      </c>
      <c r="H3" s="14" t="s">
        <v>111</v>
      </c>
      <c r="I3" s="23">
        <v>43281</v>
      </c>
      <c r="J3" s="27">
        <v>24</v>
      </c>
      <c r="K3" s="4">
        <v>42430</v>
      </c>
      <c r="L3" s="4">
        <v>43281</v>
      </c>
      <c r="M3" s="27">
        <v>24</v>
      </c>
    </row>
    <row r="4" spans="1:16">
      <c r="A4" t="s">
        <v>804</v>
      </c>
      <c r="B4" t="s">
        <v>1505</v>
      </c>
      <c r="C4" s="29" t="s">
        <v>299</v>
      </c>
      <c r="D4" t="s">
        <v>300</v>
      </c>
      <c r="E4" t="s">
        <v>1219</v>
      </c>
      <c r="F4" t="s">
        <v>1220</v>
      </c>
      <c r="G4" t="s">
        <v>872</v>
      </c>
      <c r="H4" s="14" t="s">
        <v>301</v>
      </c>
      <c r="I4" s="14">
        <v>43435</v>
      </c>
      <c r="J4" s="27">
        <v>24</v>
      </c>
      <c r="K4" s="4">
        <v>42339</v>
      </c>
      <c r="L4" s="6">
        <v>43435</v>
      </c>
      <c r="M4" s="27">
        <v>24</v>
      </c>
    </row>
    <row r="5" spans="1:16">
      <c r="A5" t="s">
        <v>804</v>
      </c>
      <c r="B5" t="s">
        <v>1505</v>
      </c>
      <c r="C5" s="29" t="s">
        <v>292</v>
      </c>
      <c r="D5" t="s">
        <v>293</v>
      </c>
      <c r="E5" t="s">
        <v>1221</v>
      </c>
      <c r="F5" t="s">
        <v>1222</v>
      </c>
      <c r="G5" t="s">
        <v>872</v>
      </c>
      <c r="H5" s="14" t="s">
        <v>257</v>
      </c>
      <c r="I5" s="23">
        <v>43131</v>
      </c>
      <c r="J5" s="27">
        <v>24</v>
      </c>
      <c r="K5" s="4">
        <v>42917</v>
      </c>
      <c r="L5" s="4">
        <v>43465</v>
      </c>
      <c r="M5" s="27">
        <v>7</v>
      </c>
    </row>
    <row r="6" spans="1:16">
      <c r="A6" t="s">
        <v>804</v>
      </c>
      <c r="B6" t="s">
        <v>1505</v>
      </c>
      <c r="C6" s="29" t="s">
        <v>294</v>
      </c>
      <c r="D6" t="s">
        <v>295</v>
      </c>
      <c r="E6" t="s">
        <v>1223</v>
      </c>
      <c r="F6" t="s">
        <v>1224</v>
      </c>
      <c r="G6" t="s">
        <v>872</v>
      </c>
      <c r="H6" s="14" t="s">
        <v>296</v>
      </c>
      <c r="I6" s="23">
        <v>43268</v>
      </c>
      <c r="J6" s="27">
        <v>24</v>
      </c>
      <c r="K6" s="4">
        <v>42186</v>
      </c>
      <c r="L6" s="4">
        <v>43328</v>
      </c>
      <c r="M6" s="27">
        <v>24</v>
      </c>
    </row>
    <row r="7" spans="1:16">
      <c r="A7" t="s">
        <v>804</v>
      </c>
      <c r="B7" t="s">
        <v>934</v>
      </c>
      <c r="C7" s="29" t="s">
        <v>492</v>
      </c>
      <c r="D7" t="s">
        <v>493</v>
      </c>
      <c r="E7" t="s">
        <v>1225</v>
      </c>
      <c r="F7" t="s">
        <v>1226</v>
      </c>
      <c r="G7" t="s">
        <v>872</v>
      </c>
      <c r="H7" s="14" t="s">
        <v>494</v>
      </c>
      <c r="I7" s="14">
        <v>43097</v>
      </c>
      <c r="J7" s="27">
        <v>9</v>
      </c>
      <c r="K7" s="4">
        <v>41729</v>
      </c>
      <c r="L7" s="6">
        <v>43097</v>
      </c>
      <c r="M7" s="27">
        <v>24</v>
      </c>
    </row>
    <row r="8" spans="1:16">
      <c r="A8" t="s">
        <v>804</v>
      </c>
      <c r="B8" t="s">
        <v>934</v>
      </c>
      <c r="C8" s="29" t="s">
        <v>630</v>
      </c>
      <c r="D8" t="s">
        <v>631</v>
      </c>
      <c r="E8" t="s">
        <v>1227</v>
      </c>
      <c r="F8" t="s">
        <v>1228</v>
      </c>
      <c r="G8" t="s">
        <v>872</v>
      </c>
      <c r="H8" s="14" t="s">
        <v>547</v>
      </c>
      <c r="I8" s="23">
        <v>43343</v>
      </c>
      <c r="J8" s="27">
        <v>24</v>
      </c>
      <c r="K8" s="4">
        <v>42583</v>
      </c>
      <c r="L8" s="4">
        <v>43312</v>
      </c>
      <c r="M8" s="27">
        <v>24</v>
      </c>
    </row>
    <row r="9" spans="1:16">
      <c r="A9" t="s">
        <v>804</v>
      </c>
      <c r="B9" t="s">
        <v>934</v>
      </c>
      <c r="C9" s="29" t="s">
        <v>632</v>
      </c>
      <c r="D9" t="s">
        <v>633</v>
      </c>
      <c r="E9" t="s">
        <v>1229</v>
      </c>
      <c r="F9" t="s">
        <v>1230</v>
      </c>
      <c r="G9" t="s">
        <v>872</v>
      </c>
      <c r="H9" s="14" t="s">
        <v>564</v>
      </c>
      <c r="I9" s="23">
        <v>43373</v>
      </c>
      <c r="J9" s="27">
        <v>24</v>
      </c>
      <c r="K9" s="4">
        <v>42614</v>
      </c>
      <c r="L9" s="4">
        <v>43343</v>
      </c>
      <c r="M9" s="27">
        <v>24</v>
      </c>
    </row>
    <row r="10" spans="1:16">
      <c r="A10" t="s">
        <v>804</v>
      </c>
      <c r="B10" t="s">
        <v>934</v>
      </c>
      <c r="C10" s="29" t="s">
        <v>490</v>
      </c>
      <c r="D10" t="s">
        <v>491</v>
      </c>
      <c r="E10" t="s">
        <v>1231</v>
      </c>
      <c r="F10" t="s">
        <v>1232</v>
      </c>
      <c r="G10" t="s">
        <v>872</v>
      </c>
      <c r="H10" s="14" t="s">
        <v>133</v>
      </c>
      <c r="I10" s="14">
        <v>43738</v>
      </c>
      <c r="J10" s="27">
        <v>7</v>
      </c>
      <c r="K10" s="4">
        <v>43009</v>
      </c>
      <c r="L10" s="4">
        <v>43738</v>
      </c>
      <c r="M10" s="27">
        <v>24</v>
      </c>
    </row>
    <row r="11" spans="1:16">
      <c r="A11" t="s">
        <v>804</v>
      </c>
      <c r="B11" t="s">
        <v>934</v>
      </c>
      <c r="C11" s="29" t="s">
        <v>634</v>
      </c>
      <c r="D11" t="s">
        <v>635</v>
      </c>
      <c r="E11" t="s">
        <v>1233</v>
      </c>
      <c r="F11" t="s">
        <v>1234</v>
      </c>
      <c r="G11" t="s">
        <v>872</v>
      </c>
      <c r="H11" s="14" t="s">
        <v>203</v>
      </c>
      <c r="I11" s="23">
        <v>43584</v>
      </c>
      <c r="J11" s="27">
        <v>24</v>
      </c>
      <c r="K11" s="4">
        <v>42887</v>
      </c>
      <c r="L11" s="4">
        <v>43616</v>
      </c>
      <c r="M11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48"/>
  <dimension ref="A1:P3"/>
  <sheetViews>
    <sheetView workbookViewId="0"/>
  </sheetViews>
  <sheetFormatPr defaultRowHeight="12.75"/>
  <cols>
    <col min="1" max="1" width="27" bestFit="1" customWidth="1"/>
    <col min="2" max="2" width="12.33203125" bestFit="1" customWidth="1"/>
    <col min="3" max="3" width="15.6640625" bestFit="1" customWidth="1"/>
    <col min="4" max="4" width="45.33203125" bestFit="1" customWidth="1"/>
    <col min="5" max="5" width="9.1640625" bestFit="1" customWidth="1"/>
    <col min="6" max="6" width="29" bestFit="1" customWidth="1"/>
    <col min="7" max="7" width="15.83203125" bestFit="1" customWidth="1"/>
    <col min="8" max="8" width="10.1640625" bestFit="1" customWidth="1"/>
    <col min="9" max="9" width="9.1640625" bestFit="1" customWidth="1"/>
    <col min="10" max="10" width="3.1640625" bestFit="1" customWidth="1"/>
    <col min="11" max="12" width="9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790</v>
      </c>
      <c r="B2" t="s">
        <v>1505</v>
      </c>
      <c r="C2" s="29" t="s">
        <v>261</v>
      </c>
      <c r="D2" t="s">
        <v>262</v>
      </c>
      <c r="E2" t="s">
        <v>1235</v>
      </c>
      <c r="F2" t="s">
        <v>1236</v>
      </c>
      <c r="G2" t="s">
        <v>858</v>
      </c>
      <c r="H2" s="14" t="s">
        <v>263</v>
      </c>
      <c r="I2" s="14">
        <v>43708</v>
      </c>
      <c r="J2" s="27">
        <v>24</v>
      </c>
      <c r="K2" s="4">
        <v>41609</v>
      </c>
      <c r="L2" s="4">
        <v>43708</v>
      </c>
      <c r="M2" s="27">
        <v>24</v>
      </c>
    </row>
    <row r="3" spans="1:16">
      <c r="A3" t="s">
        <v>790</v>
      </c>
      <c r="B3" t="s">
        <v>1505</v>
      </c>
      <c r="C3" s="29" t="s">
        <v>32</v>
      </c>
      <c r="D3" t="s">
        <v>33</v>
      </c>
      <c r="E3" t="s">
        <v>1237</v>
      </c>
      <c r="F3" t="s">
        <v>1238</v>
      </c>
      <c r="G3" t="s">
        <v>858</v>
      </c>
      <c r="H3" s="14" t="s">
        <v>34</v>
      </c>
      <c r="I3" s="14">
        <v>43738</v>
      </c>
      <c r="J3" s="27">
        <v>30</v>
      </c>
      <c r="K3" s="4">
        <v>41518</v>
      </c>
      <c r="L3" s="4">
        <v>43738</v>
      </c>
      <c r="M3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49"/>
  <dimension ref="A1:P6"/>
  <sheetViews>
    <sheetView workbookViewId="0"/>
  </sheetViews>
  <sheetFormatPr defaultRowHeight="12.75"/>
  <cols>
    <col min="1" max="1" width="27.83203125" bestFit="1" customWidth="1"/>
    <col min="2" max="2" width="12.33203125" bestFit="1" customWidth="1"/>
    <col min="3" max="3" width="15.6640625" bestFit="1" customWidth="1"/>
    <col min="4" max="4" width="33.33203125" bestFit="1" customWidth="1"/>
    <col min="5" max="5" width="9.1640625" bestFit="1" customWidth="1"/>
    <col min="6" max="6" width="14" bestFit="1" customWidth="1"/>
    <col min="7" max="7" width="16.33203125" bestFit="1" customWidth="1"/>
    <col min="8" max="9" width="10.1640625" bestFit="1" customWidth="1"/>
    <col min="10" max="10" width="3.1640625" bestFit="1" customWidth="1"/>
    <col min="11" max="11" width="9.1640625" bestFit="1" customWidth="1"/>
    <col min="12" max="12" width="10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775</v>
      </c>
      <c r="B2" t="s">
        <v>1505</v>
      </c>
      <c r="C2" s="29" t="s">
        <v>187</v>
      </c>
      <c r="D2" t="s">
        <v>188</v>
      </c>
      <c r="E2" t="s">
        <v>1239</v>
      </c>
      <c r="F2" t="s">
        <v>1240</v>
      </c>
      <c r="G2" t="s">
        <v>843</v>
      </c>
      <c r="H2" s="14" t="s">
        <v>70</v>
      </c>
      <c r="I2" s="14">
        <v>43799</v>
      </c>
      <c r="J2" s="27">
        <v>24</v>
      </c>
      <c r="K2" s="4">
        <v>41974</v>
      </c>
      <c r="L2" s="22">
        <v>43799</v>
      </c>
      <c r="M2" s="27">
        <v>24</v>
      </c>
    </row>
    <row r="3" spans="1:16">
      <c r="A3" t="s">
        <v>775</v>
      </c>
      <c r="B3" t="s">
        <v>1505</v>
      </c>
      <c r="C3" s="29" t="s">
        <v>189</v>
      </c>
      <c r="D3" t="s">
        <v>190</v>
      </c>
      <c r="E3" t="s">
        <v>1241</v>
      </c>
      <c r="F3" t="s">
        <v>1242</v>
      </c>
      <c r="G3" t="s">
        <v>843</v>
      </c>
      <c r="H3" s="14" t="s">
        <v>191</v>
      </c>
      <c r="I3" s="14">
        <v>43434</v>
      </c>
      <c r="J3" s="27">
        <v>24</v>
      </c>
      <c r="K3" s="4">
        <v>40330</v>
      </c>
      <c r="L3" s="22">
        <v>43434</v>
      </c>
      <c r="M3" s="27">
        <v>24</v>
      </c>
    </row>
    <row r="4" spans="1:16">
      <c r="A4" t="s">
        <v>775</v>
      </c>
      <c r="B4" t="s">
        <v>1505</v>
      </c>
      <c r="C4" s="29" t="s">
        <v>8</v>
      </c>
      <c r="D4" t="s">
        <v>9</v>
      </c>
      <c r="E4" t="s">
        <v>1243</v>
      </c>
      <c r="F4" t="s">
        <v>1244</v>
      </c>
      <c r="G4" t="s">
        <v>843</v>
      </c>
      <c r="H4" s="14" t="s">
        <v>10</v>
      </c>
      <c r="I4" s="14">
        <v>43434</v>
      </c>
      <c r="J4" s="27">
        <v>12</v>
      </c>
      <c r="K4" s="4">
        <v>42005</v>
      </c>
      <c r="L4" s="4">
        <v>43434</v>
      </c>
      <c r="M4" s="27">
        <v>24</v>
      </c>
    </row>
    <row r="5" spans="1:16">
      <c r="A5" t="s">
        <v>775</v>
      </c>
      <c r="B5" t="s">
        <v>1505</v>
      </c>
      <c r="C5" s="29" t="s">
        <v>11</v>
      </c>
      <c r="D5" t="s">
        <v>12</v>
      </c>
      <c r="E5" t="s">
        <v>1245</v>
      </c>
      <c r="F5" t="s">
        <v>1246</v>
      </c>
      <c r="G5" t="s">
        <v>843</v>
      </c>
      <c r="H5" s="14" t="s">
        <v>13</v>
      </c>
      <c r="I5" s="14">
        <v>43920</v>
      </c>
      <c r="J5" s="27">
        <v>36</v>
      </c>
      <c r="K5" s="4">
        <v>42309</v>
      </c>
      <c r="L5" s="4">
        <v>43434</v>
      </c>
      <c r="M5" s="27">
        <v>24</v>
      </c>
    </row>
    <row r="6" spans="1:16">
      <c r="A6" t="s">
        <v>775</v>
      </c>
      <c r="B6" t="s">
        <v>934</v>
      </c>
      <c r="C6" s="29" t="s">
        <v>534</v>
      </c>
      <c r="D6" t="s">
        <v>535</v>
      </c>
      <c r="E6" t="s">
        <v>1247</v>
      </c>
      <c r="F6" t="s">
        <v>1248</v>
      </c>
      <c r="G6" t="s">
        <v>843</v>
      </c>
      <c r="H6" s="14" t="s">
        <v>536</v>
      </c>
      <c r="I6" s="14">
        <v>43098</v>
      </c>
      <c r="J6" s="27">
        <v>24</v>
      </c>
      <c r="K6" s="4">
        <v>42339</v>
      </c>
      <c r="L6" s="4">
        <v>43098</v>
      </c>
      <c r="M6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50"/>
  <dimension ref="A1:P4"/>
  <sheetViews>
    <sheetView workbookViewId="0"/>
  </sheetViews>
  <sheetFormatPr defaultRowHeight="12.75"/>
  <cols>
    <col min="1" max="1" width="26" bestFit="1" customWidth="1"/>
    <col min="2" max="2" width="12.33203125" bestFit="1" customWidth="1"/>
    <col min="3" max="3" width="15.6640625" bestFit="1" customWidth="1"/>
    <col min="4" max="4" width="43" bestFit="1" customWidth="1"/>
    <col min="5" max="5" width="9.1640625" bestFit="1" customWidth="1"/>
    <col min="6" max="6" width="43" bestFit="1" customWidth="1"/>
    <col min="7" max="7" width="14" bestFit="1" customWidth="1"/>
    <col min="8" max="8" width="10.1640625" bestFit="1" customWidth="1"/>
    <col min="9" max="9" width="9.1640625" bestFit="1" customWidth="1"/>
    <col min="10" max="10" width="3.1640625" bestFit="1" customWidth="1"/>
    <col min="11" max="12" width="9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812</v>
      </c>
      <c r="B2" t="s">
        <v>1505</v>
      </c>
      <c r="C2" s="29" t="s">
        <v>71</v>
      </c>
      <c r="D2" t="s">
        <v>72</v>
      </c>
      <c r="E2" t="s">
        <v>1249</v>
      </c>
      <c r="F2" t="s">
        <v>1250</v>
      </c>
      <c r="G2" t="s">
        <v>880</v>
      </c>
      <c r="H2" s="14" t="s">
        <v>73</v>
      </c>
      <c r="I2" s="23">
        <v>43677</v>
      </c>
      <c r="J2" s="27">
        <v>30</v>
      </c>
      <c r="K2" s="4">
        <v>41670</v>
      </c>
      <c r="L2" s="4">
        <v>43677</v>
      </c>
      <c r="M2" s="27">
        <v>36</v>
      </c>
    </row>
    <row r="3" spans="1:16">
      <c r="A3" t="s">
        <v>812</v>
      </c>
      <c r="B3" t="s">
        <v>934</v>
      </c>
      <c r="C3" s="29" t="s">
        <v>666</v>
      </c>
      <c r="D3" t="s">
        <v>667</v>
      </c>
      <c r="E3" t="s">
        <v>1251</v>
      </c>
      <c r="F3" t="s">
        <v>1252</v>
      </c>
      <c r="G3" t="s">
        <v>880</v>
      </c>
      <c r="H3" s="14" t="s">
        <v>13</v>
      </c>
      <c r="I3" s="23">
        <v>43553</v>
      </c>
      <c r="J3" s="27">
        <v>24</v>
      </c>
      <c r="K3" s="4">
        <v>42766</v>
      </c>
      <c r="L3" s="4">
        <v>43496</v>
      </c>
      <c r="M3" s="27">
        <v>24</v>
      </c>
    </row>
    <row r="4" spans="1:16">
      <c r="A4" t="s">
        <v>812</v>
      </c>
      <c r="B4" t="s">
        <v>934</v>
      </c>
      <c r="C4" s="29" t="s">
        <v>668</v>
      </c>
      <c r="D4" t="s">
        <v>669</v>
      </c>
      <c r="E4" t="s">
        <v>1253</v>
      </c>
      <c r="F4" t="s">
        <v>1254</v>
      </c>
      <c r="G4" t="s">
        <v>880</v>
      </c>
      <c r="H4" s="14" t="s">
        <v>670</v>
      </c>
      <c r="I4" s="14">
        <v>44357</v>
      </c>
      <c r="J4" s="27">
        <v>48</v>
      </c>
      <c r="K4" s="4">
        <v>42859</v>
      </c>
      <c r="L4" s="6">
        <v>44357</v>
      </c>
      <c r="M4" s="27">
        <v>48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51"/>
  <dimension ref="A1:P2"/>
  <sheetViews>
    <sheetView workbookViewId="0"/>
  </sheetViews>
  <sheetFormatPr defaultRowHeight="12.75"/>
  <cols>
    <col min="1" max="1" width="23.83203125" bestFit="1" customWidth="1"/>
    <col min="2" max="2" width="8.83203125" bestFit="1" customWidth="1"/>
    <col min="3" max="3" width="15.6640625" bestFit="1" customWidth="1"/>
    <col min="4" max="4" width="32.83203125" bestFit="1" customWidth="1"/>
    <col min="5" max="5" width="9.1640625" bestFit="1" customWidth="1"/>
    <col min="6" max="6" width="25.5" bestFit="1" customWidth="1"/>
    <col min="7" max="7" width="12.5" bestFit="1" customWidth="1"/>
    <col min="8" max="8" width="10.1640625" bestFit="1" customWidth="1"/>
    <col min="9" max="9" width="8.1640625" bestFit="1" customWidth="1"/>
    <col min="10" max="10" width="3.1640625" bestFit="1" customWidth="1"/>
    <col min="11" max="11" width="9.1640625" bestFit="1" customWidth="1"/>
    <col min="12" max="12" width="8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911</v>
      </c>
      <c r="B2" t="s">
        <v>934</v>
      </c>
      <c r="C2" s="29" t="s">
        <v>727</v>
      </c>
      <c r="D2" t="s">
        <v>728</v>
      </c>
      <c r="E2" t="s">
        <v>1255</v>
      </c>
      <c r="F2" t="s">
        <v>1256</v>
      </c>
      <c r="G2" t="s">
        <v>920</v>
      </c>
      <c r="H2" s="14" t="s">
        <v>729</v>
      </c>
      <c r="I2" s="23">
        <v>43321</v>
      </c>
      <c r="J2" s="27">
        <v>24</v>
      </c>
      <c r="K2" s="4">
        <v>42957</v>
      </c>
      <c r="L2" s="4">
        <v>43686</v>
      </c>
      <c r="M2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52"/>
  <dimension ref="A1:P9"/>
  <sheetViews>
    <sheetView workbookViewId="0"/>
  </sheetViews>
  <sheetFormatPr defaultRowHeight="12.75"/>
  <cols>
    <col min="1" max="1" width="25" bestFit="1" customWidth="1"/>
    <col min="2" max="2" width="12.33203125" bestFit="1" customWidth="1"/>
    <col min="3" max="3" width="15.6640625" bestFit="1" customWidth="1"/>
    <col min="4" max="4" width="43.1640625" bestFit="1" customWidth="1"/>
    <col min="5" max="5" width="9.1640625" bestFit="1" customWidth="1"/>
    <col min="6" max="6" width="56.83203125" bestFit="1" customWidth="1"/>
    <col min="7" max="7" width="14.83203125" bestFit="1" customWidth="1"/>
    <col min="8" max="9" width="10.1640625" bestFit="1" customWidth="1"/>
    <col min="10" max="10" width="3.1640625" bestFit="1" customWidth="1"/>
    <col min="11" max="12" width="9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831</v>
      </c>
      <c r="B2" t="s">
        <v>1505</v>
      </c>
      <c r="C2" s="29" t="s">
        <v>112</v>
      </c>
      <c r="D2" t="s">
        <v>113</v>
      </c>
      <c r="E2" t="s">
        <v>1257</v>
      </c>
      <c r="F2" t="s">
        <v>1258</v>
      </c>
      <c r="G2" t="s">
        <v>899</v>
      </c>
      <c r="H2" s="14" t="s">
        <v>114</v>
      </c>
      <c r="I2" s="23">
        <v>43118</v>
      </c>
      <c r="J2" s="27">
        <v>36</v>
      </c>
      <c r="K2" s="4">
        <v>41444</v>
      </c>
      <c r="L2" s="4">
        <v>43118</v>
      </c>
      <c r="M2" s="27">
        <v>24</v>
      </c>
    </row>
    <row r="3" spans="1:16">
      <c r="A3" t="s">
        <v>831</v>
      </c>
      <c r="B3" t="s">
        <v>1505</v>
      </c>
      <c r="C3" s="29" t="s">
        <v>468</v>
      </c>
      <c r="D3" t="s">
        <v>469</v>
      </c>
      <c r="E3" t="s">
        <v>1259</v>
      </c>
      <c r="F3" t="s">
        <v>1260</v>
      </c>
      <c r="G3" t="s">
        <v>899</v>
      </c>
      <c r="H3" s="14" t="s">
        <v>470</v>
      </c>
      <c r="I3" s="23">
        <v>43514</v>
      </c>
      <c r="J3" s="27">
        <v>26</v>
      </c>
      <c r="K3" s="4">
        <v>42780</v>
      </c>
      <c r="L3" s="4">
        <v>43514</v>
      </c>
      <c r="M3" s="27">
        <v>12</v>
      </c>
    </row>
    <row r="4" spans="1:16">
      <c r="A4" t="s">
        <v>831</v>
      </c>
      <c r="B4" t="s">
        <v>1505</v>
      </c>
      <c r="C4" s="29" t="s">
        <v>471</v>
      </c>
      <c r="D4" t="s">
        <v>472</v>
      </c>
      <c r="E4" t="s">
        <v>1261</v>
      </c>
      <c r="F4" t="s">
        <v>1262</v>
      </c>
      <c r="G4" t="s">
        <v>899</v>
      </c>
      <c r="H4" s="14" t="s">
        <v>462</v>
      </c>
      <c r="I4" s="23">
        <v>43159</v>
      </c>
      <c r="J4" s="27">
        <v>24</v>
      </c>
      <c r="K4" s="4">
        <v>41654</v>
      </c>
      <c r="L4" s="4">
        <v>43182</v>
      </c>
      <c r="M4" s="27">
        <v>24</v>
      </c>
    </row>
    <row r="5" spans="1:16">
      <c r="A5" t="s">
        <v>831</v>
      </c>
      <c r="B5" t="s">
        <v>1505</v>
      </c>
      <c r="C5" s="29" t="s">
        <v>473</v>
      </c>
      <c r="D5" t="s">
        <v>474</v>
      </c>
      <c r="E5" t="s">
        <v>1263</v>
      </c>
      <c r="F5" t="s">
        <v>1264</v>
      </c>
      <c r="G5" t="s">
        <v>899</v>
      </c>
      <c r="H5" s="14" t="s">
        <v>91</v>
      </c>
      <c r="I5" s="23">
        <v>43272</v>
      </c>
      <c r="J5" s="27">
        <v>12</v>
      </c>
      <c r="K5" s="4">
        <v>42907</v>
      </c>
      <c r="L5" s="4">
        <v>43272</v>
      </c>
      <c r="M5" s="27">
        <v>12</v>
      </c>
    </row>
    <row r="6" spans="1:16">
      <c r="A6" t="s">
        <v>831</v>
      </c>
      <c r="B6" t="s">
        <v>1505</v>
      </c>
      <c r="C6" s="29" t="s">
        <v>475</v>
      </c>
      <c r="D6" t="s">
        <v>476</v>
      </c>
      <c r="E6" t="s">
        <v>1265</v>
      </c>
      <c r="F6" t="s">
        <v>1266</v>
      </c>
      <c r="G6" t="s">
        <v>899</v>
      </c>
      <c r="H6" s="14" t="s">
        <v>180</v>
      </c>
      <c r="I6" s="23">
        <v>43677</v>
      </c>
      <c r="J6" s="27">
        <v>24</v>
      </c>
      <c r="K6" s="4">
        <v>42908</v>
      </c>
      <c r="L6" s="4">
        <v>43638</v>
      </c>
      <c r="M6" s="27">
        <v>24</v>
      </c>
    </row>
    <row r="7" spans="1:16">
      <c r="A7" t="s">
        <v>831</v>
      </c>
      <c r="B7" t="s">
        <v>934</v>
      </c>
      <c r="C7" s="29" t="s">
        <v>750</v>
      </c>
      <c r="D7" t="s">
        <v>751</v>
      </c>
      <c r="E7" t="s">
        <v>1267</v>
      </c>
      <c r="F7" t="s">
        <v>1268</v>
      </c>
      <c r="G7" t="s">
        <v>899</v>
      </c>
      <c r="H7" s="14" t="s">
        <v>118</v>
      </c>
      <c r="I7" s="23">
        <v>43434</v>
      </c>
      <c r="J7" s="27">
        <v>24</v>
      </c>
      <c r="K7" s="4">
        <v>42489</v>
      </c>
      <c r="L7" s="4">
        <v>43219</v>
      </c>
      <c r="M7" s="27">
        <v>24</v>
      </c>
    </row>
    <row r="8" spans="1:16">
      <c r="A8" t="s">
        <v>831</v>
      </c>
      <c r="B8" t="s">
        <v>934</v>
      </c>
      <c r="C8" s="29" t="s">
        <v>752</v>
      </c>
      <c r="D8" t="s">
        <v>753</v>
      </c>
      <c r="E8" t="s">
        <v>1269</v>
      </c>
      <c r="F8" t="s">
        <v>1270</v>
      </c>
      <c r="G8" t="s">
        <v>899</v>
      </c>
      <c r="H8" s="14" t="s">
        <v>754</v>
      </c>
      <c r="I8" s="23">
        <v>43426</v>
      </c>
      <c r="J8" s="27">
        <v>24</v>
      </c>
      <c r="K8" s="4">
        <v>42713</v>
      </c>
      <c r="L8" s="4">
        <v>43443</v>
      </c>
      <c r="M8" s="27">
        <v>24</v>
      </c>
    </row>
    <row r="9" spans="1:16">
      <c r="A9" t="s">
        <v>831</v>
      </c>
      <c r="B9" t="s">
        <v>934</v>
      </c>
      <c r="C9" s="29" t="s">
        <v>755</v>
      </c>
      <c r="D9" t="s">
        <v>756</v>
      </c>
      <c r="E9" t="s">
        <v>1271</v>
      </c>
      <c r="F9" t="s">
        <v>1272</v>
      </c>
      <c r="G9" t="s">
        <v>899</v>
      </c>
      <c r="H9" s="14" t="s">
        <v>271</v>
      </c>
      <c r="I9" s="23">
        <v>43159</v>
      </c>
      <c r="J9" s="27">
        <v>24</v>
      </c>
      <c r="K9" s="4">
        <v>42398</v>
      </c>
      <c r="L9" s="4">
        <v>43129</v>
      </c>
      <c r="M9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53"/>
  <dimension ref="A1:P4"/>
  <sheetViews>
    <sheetView workbookViewId="0"/>
  </sheetViews>
  <sheetFormatPr defaultRowHeight="12.75"/>
  <cols>
    <col min="1" max="1" width="25" bestFit="1" customWidth="1"/>
    <col min="2" max="2" width="12.33203125" bestFit="1" customWidth="1"/>
    <col min="3" max="3" width="15.6640625" bestFit="1" customWidth="1"/>
    <col min="4" max="4" width="40.5" bestFit="1" customWidth="1"/>
    <col min="5" max="5" width="9.1640625" bestFit="1" customWidth="1"/>
    <col min="6" max="6" width="19.1640625" bestFit="1" customWidth="1"/>
    <col min="7" max="7" width="14.6640625" bestFit="1" customWidth="1"/>
    <col min="8" max="8" width="10.1640625" bestFit="1" customWidth="1"/>
    <col min="9" max="9" width="9.1640625" bestFit="1" customWidth="1"/>
    <col min="10" max="10" width="3.1640625" bestFit="1" customWidth="1"/>
    <col min="11" max="12" width="9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792</v>
      </c>
      <c r="B2" t="s">
        <v>1505</v>
      </c>
      <c r="C2" s="29" t="s">
        <v>35</v>
      </c>
      <c r="D2" t="s">
        <v>36</v>
      </c>
      <c r="E2" t="s">
        <v>1273</v>
      </c>
      <c r="F2" t="s">
        <v>1274</v>
      </c>
      <c r="G2" t="s">
        <v>860</v>
      </c>
      <c r="H2" s="14" t="s">
        <v>37</v>
      </c>
      <c r="I2" s="23">
        <v>43144</v>
      </c>
      <c r="J2" s="27">
        <v>24</v>
      </c>
      <c r="K2" s="4">
        <v>40814</v>
      </c>
      <c r="L2" s="4">
        <v>43144</v>
      </c>
      <c r="M2" s="27">
        <v>12</v>
      </c>
    </row>
    <row r="3" spans="1:16">
      <c r="A3" t="s">
        <v>792</v>
      </c>
      <c r="B3" t="s">
        <v>1505</v>
      </c>
      <c r="C3" s="29" t="s">
        <v>268</v>
      </c>
      <c r="D3" t="s">
        <v>269</v>
      </c>
      <c r="E3" t="s">
        <v>1275</v>
      </c>
      <c r="F3" t="s">
        <v>1276</v>
      </c>
      <c r="G3" t="s">
        <v>860</v>
      </c>
      <c r="H3" s="14" t="s">
        <v>270</v>
      </c>
      <c r="I3" s="23">
        <v>43601</v>
      </c>
      <c r="J3" s="27">
        <v>24</v>
      </c>
      <c r="K3" s="4">
        <v>39657</v>
      </c>
      <c r="L3" s="4">
        <v>43601</v>
      </c>
      <c r="M3" s="27">
        <v>24</v>
      </c>
    </row>
    <row r="4" spans="1:16">
      <c r="A4" t="s">
        <v>792</v>
      </c>
      <c r="B4" t="s">
        <v>1505</v>
      </c>
      <c r="C4" s="29" t="s">
        <v>38</v>
      </c>
      <c r="D4" t="s">
        <v>39</v>
      </c>
      <c r="E4" t="s">
        <v>1277</v>
      </c>
      <c r="F4" t="s">
        <v>1278</v>
      </c>
      <c r="G4" t="s">
        <v>860</v>
      </c>
      <c r="H4" s="14" t="s">
        <v>40</v>
      </c>
      <c r="I4" s="23">
        <v>43379</v>
      </c>
      <c r="J4" s="27">
        <v>24</v>
      </c>
      <c r="K4" s="4">
        <v>39990</v>
      </c>
      <c r="L4" s="4">
        <v>43379</v>
      </c>
      <c r="M4" s="27">
        <v>12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54"/>
  <dimension ref="A1:P3"/>
  <sheetViews>
    <sheetView workbookViewId="0"/>
  </sheetViews>
  <sheetFormatPr defaultRowHeight="12.75"/>
  <cols>
    <col min="1" max="1" width="26.5" bestFit="1" customWidth="1"/>
    <col min="2" max="2" width="12.33203125" bestFit="1" customWidth="1"/>
    <col min="3" max="3" width="15.6640625" bestFit="1" customWidth="1"/>
    <col min="4" max="4" width="53.33203125" bestFit="1" customWidth="1"/>
    <col min="5" max="5" width="9.1640625" bestFit="1" customWidth="1"/>
    <col min="6" max="6" width="43.6640625" bestFit="1" customWidth="1"/>
    <col min="7" max="7" width="15.83203125" bestFit="1" customWidth="1"/>
    <col min="8" max="8" width="10.1640625" bestFit="1" customWidth="1"/>
    <col min="9" max="9" width="9.1640625" bestFit="1" customWidth="1"/>
    <col min="10" max="10" width="3.1640625" bestFit="1" customWidth="1"/>
    <col min="11" max="11" width="8.1640625" bestFit="1" customWidth="1"/>
    <col min="12" max="12" width="9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828</v>
      </c>
      <c r="B2" t="s">
        <v>1505</v>
      </c>
      <c r="C2" s="29" t="s">
        <v>109</v>
      </c>
      <c r="D2" t="s">
        <v>110</v>
      </c>
      <c r="E2" t="s">
        <v>1279</v>
      </c>
      <c r="F2" t="s">
        <v>1280</v>
      </c>
      <c r="G2" t="s">
        <v>896</v>
      </c>
      <c r="H2" s="14" t="s">
        <v>111</v>
      </c>
      <c r="I2" s="14">
        <v>43738</v>
      </c>
      <c r="J2" s="27">
        <v>24</v>
      </c>
      <c r="K2" s="4">
        <v>38201</v>
      </c>
      <c r="L2" s="4">
        <v>43738</v>
      </c>
      <c r="M2" s="27">
        <v>28</v>
      </c>
    </row>
    <row r="3" spans="1:16">
      <c r="A3" t="s">
        <v>828</v>
      </c>
      <c r="B3" t="s">
        <v>1505</v>
      </c>
      <c r="C3" s="29" t="s">
        <v>463</v>
      </c>
      <c r="D3" t="s">
        <v>464</v>
      </c>
      <c r="E3" t="s">
        <v>1281</v>
      </c>
      <c r="F3" t="s">
        <v>1282</v>
      </c>
      <c r="G3" t="s">
        <v>896</v>
      </c>
      <c r="H3" s="14" t="s">
        <v>465</v>
      </c>
      <c r="I3" s="14">
        <v>43190</v>
      </c>
      <c r="J3" s="27">
        <v>24</v>
      </c>
      <c r="K3" s="4">
        <v>42461</v>
      </c>
      <c r="L3" s="4">
        <v>43190</v>
      </c>
      <c r="M3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55"/>
  <dimension ref="A1:P10"/>
  <sheetViews>
    <sheetView workbookViewId="0"/>
  </sheetViews>
  <sheetFormatPr defaultRowHeight="12.75"/>
  <cols>
    <col min="1" max="1" width="23.33203125" bestFit="1" customWidth="1"/>
    <col min="2" max="2" width="8.83203125" bestFit="1" customWidth="1"/>
    <col min="3" max="3" width="15.6640625" bestFit="1" customWidth="1"/>
    <col min="4" max="4" width="31.1640625" bestFit="1" customWidth="1"/>
    <col min="5" max="5" width="9.1640625" bestFit="1" customWidth="1"/>
    <col min="6" max="6" width="33.33203125" bestFit="1" customWidth="1"/>
    <col min="7" max="7" width="12.6640625" bestFit="1" customWidth="1"/>
    <col min="8" max="9" width="10.1640625" bestFit="1" customWidth="1"/>
    <col min="10" max="10" width="3.1640625" bestFit="1" customWidth="1"/>
    <col min="11" max="12" width="10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794</v>
      </c>
      <c r="B2" t="s">
        <v>934</v>
      </c>
      <c r="C2" s="29" t="s">
        <v>585</v>
      </c>
      <c r="D2" t="s">
        <v>586</v>
      </c>
      <c r="E2" t="s">
        <v>1283</v>
      </c>
      <c r="F2" t="s">
        <v>1284</v>
      </c>
      <c r="G2" t="s">
        <v>862</v>
      </c>
      <c r="H2" s="14" t="s">
        <v>507</v>
      </c>
      <c r="I2" s="14">
        <v>43413</v>
      </c>
      <c r="J2" s="27">
        <v>24</v>
      </c>
      <c r="K2" s="4">
        <v>42278</v>
      </c>
      <c r="L2" s="6">
        <v>43413</v>
      </c>
      <c r="M2" s="27">
        <v>24</v>
      </c>
    </row>
    <row r="3" spans="1:16">
      <c r="A3" t="s">
        <v>794</v>
      </c>
      <c r="B3" t="s">
        <v>934</v>
      </c>
      <c r="C3" s="29" t="s">
        <v>587</v>
      </c>
      <c r="D3" t="s">
        <v>588</v>
      </c>
      <c r="E3" t="s">
        <v>1285</v>
      </c>
      <c r="F3" t="s">
        <v>1286</v>
      </c>
      <c r="G3" t="s">
        <v>862</v>
      </c>
      <c r="H3" s="14" t="s">
        <v>589</v>
      </c>
      <c r="I3" s="14">
        <v>43417</v>
      </c>
      <c r="J3" s="27">
        <v>24</v>
      </c>
      <c r="K3" s="4">
        <v>42278</v>
      </c>
      <c r="L3" s="6">
        <v>43417</v>
      </c>
      <c r="M3" s="27">
        <v>24</v>
      </c>
    </row>
    <row r="4" spans="1:16">
      <c r="A4" t="s">
        <v>794</v>
      </c>
      <c r="B4" t="s">
        <v>934</v>
      </c>
      <c r="C4" s="29" t="s">
        <v>595</v>
      </c>
      <c r="D4" t="s">
        <v>596</v>
      </c>
      <c r="E4" t="s">
        <v>1287</v>
      </c>
      <c r="F4" t="s">
        <v>1288</v>
      </c>
      <c r="G4" t="s">
        <v>862</v>
      </c>
      <c r="H4" s="14" t="s">
        <v>272</v>
      </c>
      <c r="I4" s="14">
        <v>43107</v>
      </c>
      <c r="J4" s="27">
        <v>24</v>
      </c>
      <c r="K4" s="4">
        <v>42339</v>
      </c>
      <c r="L4" s="6">
        <v>43107</v>
      </c>
      <c r="M4" s="27">
        <v>24</v>
      </c>
    </row>
    <row r="5" spans="1:16">
      <c r="A5" t="s">
        <v>794</v>
      </c>
      <c r="B5" t="s">
        <v>934</v>
      </c>
      <c r="C5" s="29" t="s">
        <v>590</v>
      </c>
      <c r="D5" t="s">
        <v>591</v>
      </c>
      <c r="E5" t="s">
        <v>1289</v>
      </c>
      <c r="F5" t="s">
        <v>1290</v>
      </c>
      <c r="G5" t="s">
        <v>862</v>
      </c>
      <c r="H5" s="14" t="s">
        <v>581</v>
      </c>
      <c r="I5" s="23">
        <v>43229</v>
      </c>
      <c r="J5" s="27">
        <v>24</v>
      </c>
      <c r="K5" s="4">
        <v>42461</v>
      </c>
      <c r="L5" s="4">
        <v>43191</v>
      </c>
      <c r="M5" s="27">
        <v>24</v>
      </c>
    </row>
    <row r="6" spans="1:16">
      <c r="A6" t="s">
        <v>794</v>
      </c>
      <c r="B6" t="s">
        <v>934</v>
      </c>
      <c r="C6" s="29" t="s">
        <v>582</v>
      </c>
      <c r="D6" t="s">
        <v>583</v>
      </c>
      <c r="E6" t="s">
        <v>1291</v>
      </c>
      <c r="F6" t="s">
        <v>1292</v>
      </c>
      <c r="G6" t="s">
        <v>862</v>
      </c>
      <c r="H6" s="14" t="s">
        <v>584</v>
      </c>
      <c r="I6" s="14">
        <v>43289</v>
      </c>
      <c r="J6" s="27">
        <v>24</v>
      </c>
      <c r="K6" s="4">
        <v>42522</v>
      </c>
      <c r="L6" s="4">
        <v>43252</v>
      </c>
      <c r="M6" s="27">
        <v>24</v>
      </c>
    </row>
    <row r="7" spans="1:16">
      <c r="A7" t="s">
        <v>794</v>
      </c>
      <c r="B7" t="s">
        <v>934</v>
      </c>
      <c r="C7" s="29" t="s">
        <v>597</v>
      </c>
      <c r="D7" t="s">
        <v>598</v>
      </c>
      <c r="E7" t="s">
        <v>1293</v>
      </c>
      <c r="F7" t="s">
        <v>1294</v>
      </c>
      <c r="G7" t="s">
        <v>862</v>
      </c>
      <c r="H7" s="14" t="s">
        <v>584</v>
      </c>
      <c r="I7" s="23">
        <v>43289</v>
      </c>
      <c r="J7" s="27">
        <v>24</v>
      </c>
      <c r="K7" s="4">
        <v>42522</v>
      </c>
      <c r="L7" s="4">
        <v>43252</v>
      </c>
      <c r="M7" s="27">
        <v>24</v>
      </c>
    </row>
    <row r="8" spans="1:16">
      <c r="A8" t="s">
        <v>794</v>
      </c>
      <c r="B8" t="s">
        <v>934</v>
      </c>
      <c r="C8" s="29" t="s">
        <v>592</v>
      </c>
      <c r="D8" t="s">
        <v>593</v>
      </c>
      <c r="E8" t="s">
        <v>1295</v>
      </c>
      <c r="F8" t="s">
        <v>1296</v>
      </c>
      <c r="G8" t="s">
        <v>862</v>
      </c>
      <c r="H8" s="14" t="s">
        <v>594</v>
      </c>
      <c r="I8" s="23">
        <v>43481</v>
      </c>
      <c r="J8" s="27">
        <v>24</v>
      </c>
      <c r="K8" s="4">
        <v>42720</v>
      </c>
      <c r="L8" s="4">
        <v>43450</v>
      </c>
      <c r="M8" s="27">
        <v>24</v>
      </c>
    </row>
    <row r="9" spans="1:16">
      <c r="A9" t="s">
        <v>794</v>
      </c>
      <c r="B9" t="s">
        <v>934</v>
      </c>
      <c r="C9" s="29" t="s">
        <v>599</v>
      </c>
      <c r="D9" t="s">
        <v>600</v>
      </c>
      <c r="E9" t="s">
        <v>1297</v>
      </c>
      <c r="F9" t="s">
        <v>1298</v>
      </c>
      <c r="G9" t="s">
        <v>862</v>
      </c>
      <c r="H9" s="14" t="s">
        <v>601</v>
      </c>
      <c r="I9" s="23">
        <v>43599</v>
      </c>
      <c r="J9" s="27">
        <v>24</v>
      </c>
      <c r="K9" s="4">
        <v>42840</v>
      </c>
      <c r="L9" s="4">
        <v>43570</v>
      </c>
      <c r="M9" s="27">
        <v>24</v>
      </c>
    </row>
    <row r="10" spans="1:16">
      <c r="A10" t="s">
        <v>794</v>
      </c>
      <c r="B10" t="s">
        <v>934</v>
      </c>
      <c r="C10" s="29" t="s">
        <v>603</v>
      </c>
      <c r="D10" t="s">
        <v>604</v>
      </c>
      <c r="E10" t="s">
        <v>1299</v>
      </c>
      <c r="F10" t="s">
        <v>1300</v>
      </c>
      <c r="G10" t="s">
        <v>862</v>
      </c>
      <c r="H10" s="14" t="s">
        <v>602</v>
      </c>
      <c r="I10" s="23">
        <v>43637</v>
      </c>
      <c r="J10" s="27">
        <v>24</v>
      </c>
      <c r="K10" s="4">
        <v>42875</v>
      </c>
      <c r="L10" s="4">
        <v>43605</v>
      </c>
      <c r="M10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56"/>
  <dimension ref="A1:P2"/>
  <sheetViews>
    <sheetView workbookViewId="0"/>
  </sheetViews>
  <sheetFormatPr defaultRowHeight="12.75"/>
  <cols>
    <col min="1" max="1" width="24.1640625" bestFit="1" customWidth="1"/>
    <col min="2" max="2" width="12.33203125" bestFit="1" customWidth="1"/>
    <col min="3" max="3" width="14.6640625" bestFit="1" customWidth="1"/>
    <col min="4" max="4" width="38.6640625" bestFit="1" customWidth="1"/>
    <col min="5" max="5" width="9.1640625" bestFit="1" customWidth="1"/>
    <col min="6" max="6" width="22.33203125" bestFit="1" customWidth="1"/>
    <col min="7" max="7" width="13.6640625" bestFit="1" customWidth="1"/>
    <col min="8" max="8" width="10.1640625" bestFit="1" customWidth="1"/>
    <col min="9" max="9" width="9.1640625" bestFit="1" customWidth="1"/>
    <col min="10" max="10" width="3.1640625" bestFit="1" customWidth="1"/>
    <col min="11" max="11" width="8.1640625" bestFit="1" customWidth="1"/>
    <col min="12" max="12" width="9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819</v>
      </c>
      <c r="B2" t="s">
        <v>1505</v>
      </c>
      <c r="C2" s="29" t="s">
        <v>407</v>
      </c>
      <c r="D2" t="s">
        <v>408</v>
      </c>
      <c r="E2" t="s">
        <v>1301</v>
      </c>
      <c r="F2" t="s">
        <v>1302</v>
      </c>
      <c r="G2" t="s">
        <v>887</v>
      </c>
      <c r="H2" s="14" t="s">
        <v>409</v>
      </c>
      <c r="I2" s="14">
        <v>44071</v>
      </c>
      <c r="J2" s="27">
        <v>36</v>
      </c>
      <c r="K2" s="4">
        <v>42005</v>
      </c>
      <c r="L2" s="4">
        <v>44071</v>
      </c>
      <c r="M2" s="27">
        <v>36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57"/>
  <dimension ref="A1:P5"/>
  <sheetViews>
    <sheetView workbookViewId="0"/>
  </sheetViews>
  <sheetFormatPr defaultRowHeight="12.75"/>
  <cols>
    <col min="1" max="1" width="25.5" bestFit="1" customWidth="1"/>
    <col min="2" max="2" width="12.33203125" bestFit="1" customWidth="1"/>
    <col min="3" max="3" width="15.6640625" bestFit="1" customWidth="1"/>
    <col min="4" max="4" width="44.5" bestFit="1" customWidth="1"/>
    <col min="5" max="5" width="9.1640625" bestFit="1" customWidth="1"/>
    <col min="6" max="6" width="28.1640625" bestFit="1" customWidth="1"/>
    <col min="7" max="7" width="14.1640625" bestFit="1" customWidth="1"/>
    <col min="8" max="9" width="10.1640625" bestFit="1" customWidth="1"/>
    <col min="10" max="10" width="3.1640625" bestFit="1" customWidth="1"/>
    <col min="11" max="11" width="9.1640625" bestFit="1" customWidth="1"/>
    <col min="12" max="12" width="10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807</v>
      </c>
      <c r="B2" t="s">
        <v>1505</v>
      </c>
      <c r="C2" s="29" t="s">
        <v>321</v>
      </c>
      <c r="D2" t="s">
        <v>322</v>
      </c>
      <c r="E2" t="s">
        <v>1303</v>
      </c>
      <c r="F2" t="s">
        <v>1304</v>
      </c>
      <c r="G2" t="s">
        <v>875</v>
      </c>
      <c r="H2" s="14" t="s">
        <v>323</v>
      </c>
      <c r="I2" s="23">
        <v>43616</v>
      </c>
      <c r="J2" s="27">
        <v>36</v>
      </c>
      <c r="K2" s="4">
        <v>42522</v>
      </c>
      <c r="L2" s="4">
        <v>43616</v>
      </c>
      <c r="M2" s="27">
        <v>36</v>
      </c>
    </row>
    <row r="3" spans="1:16">
      <c r="A3" t="s">
        <v>807</v>
      </c>
      <c r="B3" t="s">
        <v>1505</v>
      </c>
      <c r="C3" s="29" t="s">
        <v>68</v>
      </c>
      <c r="D3" t="s">
        <v>69</v>
      </c>
      <c r="E3" t="s">
        <v>1305</v>
      </c>
      <c r="F3" t="s">
        <v>1306</v>
      </c>
      <c r="G3" t="s">
        <v>875</v>
      </c>
      <c r="H3" s="14" t="s">
        <v>70</v>
      </c>
      <c r="I3" s="14">
        <v>43131</v>
      </c>
      <c r="J3" s="27">
        <v>24</v>
      </c>
      <c r="K3" s="4">
        <v>42430</v>
      </c>
      <c r="L3" s="4">
        <v>43039</v>
      </c>
      <c r="M3" s="27">
        <v>20</v>
      </c>
    </row>
    <row r="4" spans="1:16">
      <c r="A4" t="s">
        <v>807</v>
      </c>
      <c r="B4" t="s">
        <v>1505</v>
      </c>
      <c r="C4" s="29" t="s">
        <v>324</v>
      </c>
      <c r="D4" t="s">
        <v>325</v>
      </c>
      <c r="E4" t="s">
        <v>1307</v>
      </c>
      <c r="F4" t="s">
        <v>1308</v>
      </c>
      <c r="G4" t="s">
        <v>875</v>
      </c>
      <c r="H4" s="14" t="s">
        <v>326</v>
      </c>
      <c r="I4" s="14">
        <v>43100</v>
      </c>
      <c r="J4" s="27">
        <v>27</v>
      </c>
      <c r="K4" s="4">
        <v>42309</v>
      </c>
      <c r="L4" s="4">
        <v>43039</v>
      </c>
      <c r="M4" s="27">
        <v>24</v>
      </c>
    </row>
    <row r="5" spans="1:16">
      <c r="A5" t="s">
        <v>807</v>
      </c>
      <c r="B5" t="s">
        <v>1505</v>
      </c>
      <c r="C5" s="29" t="s">
        <v>327</v>
      </c>
      <c r="D5" t="s">
        <v>328</v>
      </c>
      <c r="E5" t="s">
        <v>1309</v>
      </c>
      <c r="F5" t="s">
        <v>1310</v>
      </c>
      <c r="G5" t="s">
        <v>875</v>
      </c>
      <c r="H5" s="14" t="s">
        <v>329</v>
      </c>
      <c r="I5" s="23">
        <v>43158</v>
      </c>
      <c r="J5" s="27">
        <v>24</v>
      </c>
      <c r="K5" s="4">
        <v>42430</v>
      </c>
      <c r="L5" s="4">
        <v>43158</v>
      </c>
      <c r="M5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58"/>
  <dimension ref="A1:P4"/>
  <sheetViews>
    <sheetView workbookViewId="0"/>
  </sheetViews>
  <sheetFormatPr defaultRowHeight="12.75"/>
  <cols>
    <col min="1" max="1" width="23.5" bestFit="1" customWidth="1"/>
    <col min="2" max="2" width="8.83203125" bestFit="1" customWidth="1"/>
    <col min="3" max="3" width="15.6640625" bestFit="1" customWidth="1"/>
    <col min="4" max="4" width="38.33203125" bestFit="1" customWidth="1"/>
    <col min="5" max="5" width="9.1640625" bestFit="1" customWidth="1"/>
    <col min="6" max="6" width="26.33203125" bestFit="1" customWidth="1"/>
    <col min="7" max="7" width="12.5" bestFit="1" customWidth="1"/>
    <col min="8" max="9" width="10.1640625" bestFit="1" customWidth="1"/>
    <col min="10" max="10" width="3.1640625" bestFit="1" customWidth="1"/>
    <col min="11" max="11" width="9.1640625" bestFit="1" customWidth="1"/>
    <col min="12" max="12" width="10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908</v>
      </c>
      <c r="B2" t="s">
        <v>934</v>
      </c>
      <c r="C2" s="29" t="s">
        <v>683</v>
      </c>
      <c r="D2" t="s">
        <v>684</v>
      </c>
      <c r="E2" t="s">
        <v>1311</v>
      </c>
      <c r="F2" t="s">
        <v>1312</v>
      </c>
      <c r="G2" t="s">
        <v>917</v>
      </c>
      <c r="H2" s="14" t="s">
        <v>685</v>
      </c>
      <c r="I2" s="23">
        <v>43397</v>
      </c>
      <c r="J2" s="27">
        <v>24</v>
      </c>
      <c r="K2" s="4">
        <v>42675</v>
      </c>
      <c r="L2" s="4">
        <v>43397</v>
      </c>
      <c r="M2" s="27">
        <v>24</v>
      </c>
    </row>
    <row r="3" spans="1:16">
      <c r="A3" t="s">
        <v>908</v>
      </c>
      <c r="B3" t="s">
        <v>934</v>
      </c>
      <c r="C3" s="29" t="s">
        <v>686</v>
      </c>
      <c r="D3" t="s">
        <v>687</v>
      </c>
      <c r="E3" t="s">
        <v>1313</v>
      </c>
      <c r="F3" t="s">
        <v>1314</v>
      </c>
      <c r="G3" t="s">
        <v>917</v>
      </c>
      <c r="H3" s="14" t="s">
        <v>688</v>
      </c>
      <c r="I3" s="23">
        <v>43396</v>
      </c>
      <c r="J3" s="27">
        <v>24</v>
      </c>
      <c r="K3" s="4">
        <v>42675</v>
      </c>
      <c r="L3" s="4">
        <v>43396</v>
      </c>
      <c r="M3" s="27">
        <v>24</v>
      </c>
    </row>
    <row r="4" spans="1:16">
      <c r="A4" t="s">
        <v>908</v>
      </c>
      <c r="B4" t="s">
        <v>934</v>
      </c>
      <c r="C4" s="29" t="s">
        <v>680</v>
      </c>
      <c r="D4" t="s">
        <v>681</v>
      </c>
      <c r="E4" t="s">
        <v>1315</v>
      </c>
      <c r="F4" t="s">
        <v>1316</v>
      </c>
      <c r="G4" t="s">
        <v>917</v>
      </c>
      <c r="H4" s="14" t="s">
        <v>682</v>
      </c>
      <c r="I4" s="23">
        <v>43391</v>
      </c>
      <c r="J4" s="27">
        <v>24</v>
      </c>
      <c r="K4" s="4">
        <v>42675</v>
      </c>
      <c r="L4" s="4">
        <v>43391</v>
      </c>
      <c r="M4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59"/>
  <dimension ref="A1:P3"/>
  <sheetViews>
    <sheetView workbookViewId="0"/>
  </sheetViews>
  <sheetFormatPr defaultRowHeight="12.75"/>
  <cols>
    <col min="1" max="1" width="24" bestFit="1" customWidth="1"/>
    <col min="2" max="2" width="12.33203125" bestFit="1" customWidth="1"/>
    <col min="3" max="3" width="15.6640625" bestFit="1" customWidth="1"/>
    <col min="4" max="4" width="45.33203125" bestFit="1" customWidth="1"/>
    <col min="5" max="5" width="9.1640625" bestFit="1" customWidth="1"/>
    <col min="6" max="6" width="29" bestFit="1" customWidth="1"/>
    <col min="7" max="7" width="12.5" bestFit="1" customWidth="1"/>
    <col min="8" max="9" width="10.1640625" bestFit="1" customWidth="1"/>
    <col min="10" max="10" width="3.1640625" bestFit="1" customWidth="1"/>
    <col min="11" max="11" width="9.1640625" bestFit="1" customWidth="1"/>
    <col min="12" max="12" width="10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811</v>
      </c>
      <c r="B2" t="s">
        <v>1505</v>
      </c>
      <c r="C2" s="29" t="s">
        <v>351</v>
      </c>
      <c r="D2" t="s">
        <v>352</v>
      </c>
      <c r="E2" t="s">
        <v>1317</v>
      </c>
      <c r="F2" t="s">
        <v>1318</v>
      </c>
      <c r="G2" t="s">
        <v>879</v>
      </c>
      <c r="H2" s="14" t="s">
        <v>353</v>
      </c>
      <c r="I2" s="14">
        <v>43100</v>
      </c>
      <c r="J2" s="27">
        <v>24</v>
      </c>
      <c r="K2" s="4">
        <v>42370</v>
      </c>
      <c r="L2" s="4">
        <v>43100</v>
      </c>
      <c r="M2" s="27">
        <v>24</v>
      </c>
    </row>
    <row r="3" spans="1:16">
      <c r="A3" t="s">
        <v>811</v>
      </c>
      <c r="B3" t="s">
        <v>1505</v>
      </c>
      <c r="C3" s="29" t="s">
        <v>354</v>
      </c>
      <c r="D3" t="s">
        <v>355</v>
      </c>
      <c r="E3" t="s">
        <v>1319</v>
      </c>
      <c r="F3" t="s">
        <v>1320</v>
      </c>
      <c r="G3" t="s">
        <v>879</v>
      </c>
      <c r="H3" s="14" t="s">
        <v>356</v>
      </c>
      <c r="I3" s="23">
        <v>43296</v>
      </c>
      <c r="J3" s="27">
        <v>24</v>
      </c>
      <c r="K3" s="4">
        <v>42200</v>
      </c>
      <c r="L3" s="4">
        <v>43296</v>
      </c>
      <c r="M3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60"/>
  <dimension ref="A1:P2"/>
  <sheetViews>
    <sheetView workbookViewId="0"/>
  </sheetViews>
  <sheetFormatPr defaultRowHeight="12.75"/>
  <cols>
    <col min="1" max="1" width="22.6640625" bestFit="1" customWidth="1"/>
    <col min="2" max="2" width="8.83203125" bestFit="1" customWidth="1"/>
    <col min="3" max="3" width="15.6640625" bestFit="1" customWidth="1"/>
    <col min="4" max="4" width="34.5" bestFit="1" customWidth="1"/>
    <col min="5" max="5" width="9.1640625" bestFit="1" customWidth="1"/>
    <col min="6" max="6" width="68.6640625" bestFit="1" customWidth="1"/>
    <col min="7" max="7" width="11.6640625" bestFit="1" customWidth="1"/>
    <col min="8" max="8" width="10.1640625" bestFit="1" customWidth="1"/>
    <col min="9" max="9" width="9.1640625" bestFit="1" customWidth="1"/>
    <col min="10" max="10" width="3.1640625" bestFit="1" customWidth="1"/>
    <col min="11" max="11" width="8.1640625" bestFit="1" customWidth="1"/>
    <col min="12" max="12" width="9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907</v>
      </c>
      <c r="B2" t="s">
        <v>934</v>
      </c>
      <c r="C2" s="29" t="s">
        <v>678</v>
      </c>
      <c r="D2" t="s">
        <v>679</v>
      </c>
      <c r="E2" t="s">
        <v>1321</v>
      </c>
      <c r="F2" t="s">
        <v>1322</v>
      </c>
      <c r="G2" t="s">
        <v>916</v>
      </c>
      <c r="H2" s="14" t="s">
        <v>435</v>
      </c>
      <c r="I2" s="23">
        <v>43131</v>
      </c>
      <c r="J2" s="27">
        <v>24</v>
      </c>
      <c r="K2" s="4">
        <v>42125</v>
      </c>
      <c r="L2" s="4">
        <v>43131</v>
      </c>
      <c r="M2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61"/>
  <dimension ref="A1:P6"/>
  <sheetViews>
    <sheetView workbookViewId="0"/>
  </sheetViews>
  <sheetFormatPr defaultRowHeight="12.75"/>
  <cols>
    <col min="1" max="1" width="25.83203125" bestFit="1" customWidth="1"/>
    <col min="2" max="2" width="12.33203125" bestFit="1" customWidth="1"/>
    <col min="3" max="3" width="15.6640625" bestFit="1" customWidth="1"/>
    <col min="4" max="4" width="52.5" bestFit="1" customWidth="1"/>
    <col min="5" max="5" width="9.1640625" bestFit="1" customWidth="1"/>
    <col min="6" max="6" width="36.1640625" bestFit="1" customWidth="1"/>
    <col min="7" max="7" width="15.5" bestFit="1" customWidth="1"/>
    <col min="8" max="9" width="10.1640625" bestFit="1" customWidth="1"/>
    <col min="10" max="10" width="3.1640625" bestFit="1" customWidth="1"/>
    <col min="11" max="11" width="9.1640625" bestFit="1" customWidth="1"/>
    <col min="12" max="12" width="10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821</v>
      </c>
      <c r="B2" t="s">
        <v>1505</v>
      </c>
      <c r="C2" s="29" t="s">
        <v>414</v>
      </c>
      <c r="D2" t="s">
        <v>415</v>
      </c>
      <c r="E2" t="s">
        <v>1323</v>
      </c>
      <c r="F2" t="s">
        <v>1324</v>
      </c>
      <c r="G2" t="s">
        <v>889</v>
      </c>
      <c r="H2" s="14" t="s">
        <v>416</v>
      </c>
      <c r="I2" s="14">
        <v>43920</v>
      </c>
      <c r="J2" s="27">
        <v>48</v>
      </c>
      <c r="K2" s="4">
        <v>42461</v>
      </c>
      <c r="L2" s="4">
        <v>43920</v>
      </c>
      <c r="M2" s="27">
        <v>36</v>
      </c>
    </row>
    <row r="3" spans="1:16">
      <c r="A3" t="s">
        <v>821</v>
      </c>
      <c r="B3" t="s">
        <v>1505</v>
      </c>
      <c r="C3" s="29" t="s">
        <v>420</v>
      </c>
      <c r="D3" t="s">
        <v>421</v>
      </c>
      <c r="E3" t="s">
        <v>1325</v>
      </c>
      <c r="F3" t="s">
        <v>1326</v>
      </c>
      <c r="G3" t="s">
        <v>889</v>
      </c>
      <c r="H3" s="14" t="s">
        <v>422</v>
      </c>
      <c r="I3" s="23">
        <v>43084</v>
      </c>
      <c r="J3" s="27">
        <v>24</v>
      </c>
      <c r="K3" s="4">
        <v>41974</v>
      </c>
      <c r="L3" s="4">
        <v>43084</v>
      </c>
      <c r="M3" s="27">
        <v>24</v>
      </c>
    </row>
    <row r="4" spans="1:16">
      <c r="A4" t="s">
        <v>821</v>
      </c>
      <c r="B4" t="s">
        <v>1505</v>
      </c>
      <c r="C4" s="29" t="s">
        <v>89</v>
      </c>
      <c r="D4" t="s">
        <v>90</v>
      </c>
      <c r="E4" t="s">
        <v>1327</v>
      </c>
      <c r="F4" t="s">
        <v>1328</v>
      </c>
      <c r="G4" t="s">
        <v>889</v>
      </c>
      <c r="H4" s="14" t="s">
        <v>91</v>
      </c>
      <c r="I4" s="14">
        <v>43404</v>
      </c>
      <c r="J4" s="27">
        <v>15</v>
      </c>
      <c r="K4" s="4">
        <v>42767</v>
      </c>
      <c r="L4" s="4">
        <v>43404</v>
      </c>
      <c r="M4" s="27">
        <v>20</v>
      </c>
    </row>
    <row r="5" spans="1:16">
      <c r="A5" t="s">
        <v>821</v>
      </c>
      <c r="B5" t="s">
        <v>1505</v>
      </c>
      <c r="C5" s="29" t="s">
        <v>417</v>
      </c>
      <c r="D5" t="s">
        <v>418</v>
      </c>
      <c r="E5" t="s">
        <v>1329</v>
      </c>
      <c r="F5" t="s">
        <v>1330</v>
      </c>
      <c r="G5" t="s">
        <v>889</v>
      </c>
      <c r="H5" s="14" t="s">
        <v>419</v>
      </c>
      <c r="I5" s="14">
        <v>43540</v>
      </c>
      <c r="J5" s="27">
        <v>24</v>
      </c>
      <c r="K5" s="4">
        <v>42826</v>
      </c>
      <c r="L5" s="4">
        <v>43540</v>
      </c>
      <c r="M5" s="27">
        <v>24</v>
      </c>
    </row>
    <row r="6" spans="1:16">
      <c r="A6" t="s">
        <v>821</v>
      </c>
      <c r="B6" t="s">
        <v>934</v>
      </c>
      <c r="C6" s="29" t="s">
        <v>711</v>
      </c>
      <c r="D6" t="s">
        <v>712</v>
      </c>
      <c r="E6" t="s">
        <v>1331</v>
      </c>
      <c r="F6" t="s">
        <v>1332</v>
      </c>
      <c r="G6" t="s">
        <v>889</v>
      </c>
      <c r="H6" s="14" t="s">
        <v>713</v>
      </c>
      <c r="I6" s="23">
        <v>43379</v>
      </c>
      <c r="J6" s="27">
        <v>24</v>
      </c>
      <c r="K6" s="4">
        <v>42248</v>
      </c>
      <c r="L6" s="4">
        <v>43373</v>
      </c>
      <c r="M6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62"/>
  <dimension ref="A1:P16"/>
  <sheetViews>
    <sheetView workbookViewId="0"/>
  </sheetViews>
  <sheetFormatPr defaultRowHeight="12.75"/>
  <cols>
    <col min="1" max="1" width="27" bestFit="1" customWidth="1"/>
    <col min="2" max="2" width="12.33203125" bestFit="1" customWidth="1"/>
    <col min="3" max="3" width="15.6640625" bestFit="1" customWidth="1"/>
    <col min="4" max="4" width="42.6640625" bestFit="1" customWidth="1"/>
    <col min="5" max="5" width="9.1640625" bestFit="1" customWidth="1"/>
    <col min="6" max="6" width="34.1640625" bestFit="1" customWidth="1"/>
    <col min="7" max="7" width="16.33203125" bestFit="1" customWidth="1"/>
    <col min="8" max="9" width="10.1640625" bestFit="1" customWidth="1"/>
    <col min="10" max="10" width="3.1640625" bestFit="1" customWidth="1"/>
    <col min="11" max="11" width="9.1640625" bestFit="1" customWidth="1"/>
    <col min="12" max="12" width="10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771</v>
      </c>
      <c r="B2" t="s">
        <v>1505</v>
      </c>
      <c r="C2" s="29" t="s">
        <v>141</v>
      </c>
      <c r="D2" t="s">
        <v>142</v>
      </c>
      <c r="E2" t="s">
        <v>1333</v>
      </c>
      <c r="F2" t="s">
        <v>1334</v>
      </c>
      <c r="G2" t="s">
        <v>839</v>
      </c>
      <c r="H2" s="14" t="s">
        <v>143</v>
      </c>
      <c r="I2" s="23">
        <v>43219</v>
      </c>
      <c r="J2" s="27">
        <v>24</v>
      </c>
      <c r="K2" s="4">
        <v>42491</v>
      </c>
      <c r="L2" s="4">
        <v>43585</v>
      </c>
      <c r="M2" s="27">
        <v>24</v>
      </c>
    </row>
    <row r="3" spans="1:16">
      <c r="A3" t="s">
        <v>771</v>
      </c>
      <c r="B3" t="s">
        <v>1505</v>
      </c>
      <c r="C3" s="29" t="s">
        <v>160</v>
      </c>
      <c r="D3" t="s">
        <v>161</v>
      </c>
      <c r="E3" t="s">
        <v>1335</v>
      </c>
      <c r="F3" t="s">
        <v>1336</v>
      </c>
      <c r="G3" t="s">
        <v>839</v>
      </c>
      <c r="H3" s="14" t="s">
        <v>162</v>
      </c>
      <c r="I3" s="23">
        <v>43708</v>
      </c>
      <c r="J3" s="27">
        <v>36</v>
      </c>
      <c r="K3" s="4">
        <v>42979</v>
      </c>
      <c r="L3" s="4">
        <v>43708</v>
      </c>
      <c r="M3" s="27">
        <v>24</v>
      </c>
    </row>
    <row r="4" spans="1:16">
      <c r="A4" t="s">
        <v>771</v>
      </c>
      <c r="B4" t="s">
        <v>1505</v>
      </c>
      <c r="C4" s="29" t="s">
        <v>166</v>
      </c>
      <c r="D4" t="s">
        <v>167</v>
      </c>
      <c r="E4" t="s">
        <v>1337</v>
      </c>
      <c r="F4" t="s">
        <v>1338</v>
      </c>
      <c r="G4" t="s">
        <v>839</v>
      </c>
      <c r="H4" s="14" t="s">
        <v>168</v>
      </c>
      <c r="I4" s="23">
        <v>43281</v>
      </c>
      <c r="J4" s="27">
        <v>12</v>
      </c>
      <c r="K4" s="4">
        <v>42917</v>
      </c>
      <c r="L4" s="4">
        <v>43281</v>
      </c>
      <c r="M4" s="27">
        <v>12</v>
      </c>
    </row>
    <row r="5" spans="1:16">
      <c r="A5" t="s">
        <v>771</v>
      </c>
      <c r="B5" t="s">
        <v>1505</v>
      </c>
      <c r="C5" s="29" t="s">
        <v>144</v>
      </c>
      <c r="D5" t="s">
        <v>145</v>
      </c>
      <c r="E5" t="s">
        <v>1339</v>
      </c>
      <c r="F5" t="s">
        <v>1340</v>
      </c>
      <c r="G5" t="s">
        <v>839</v>
      </c>
      <c r="H5" s="14" t="s">
        <v>70</v>
      </c>
      <c r="I5" s="23">
        <v>43465</v>
      </c>
      <c r="J5" s="27">
        <v>32</v>
      </c>
      <c r="K5" s="4">
        <v>42736</v>
      </c>
      <c r="L5" s="4">
        <v>43465</v>
      </c>
      <c r="M5" s="27">
        <v>24</v>
      </c>
    </row>
    <row r="6" spans="1:16">
      <c r="A6" t="s">
        <v>771</v>
      </c>
      <c r="B6" t="s">
        <v>1505</v>
      </c>
      <c r="C6" s="29" t="s">
        <v>146</v>
      </c>
      <c r="D6" t="s">
        <v>147</v>
      </c>
      <c r="E6" t="s">
        <v>1341</v>
      </c>
      <c r="F6" t="s">
        <v>1342</v>
      </c>
      <c r="G6" t="s">
        <v>839</v>
      </c>
      <c r="H6" s="14" t="s">
        <v>148</v>
      </c>
      <c r="I6" s="23">
        <v>43299</v>
      </c>
      <c r="J6" s="27">
        <v>24</v>
      </c>
      <c r="K6" s="4">
        <v>42461</v>
      </c>
      <c r="L6" s="4">
        <v>43299</v>
      </c>
      <c r="M6" s="27">
        <v>24</v>
      </c>
    </row>
    <row r="7" spans="1:16">
      <c r="A7" t="s">
        <v>771</v>
      </c>
      <c r="B7" t="s">
        <v>1505</v>
      </c>
      <c r="C7" s="29" t="s">
        <v>149</v>
      </c>
      <c r="D7" t="s">
        <v>150</v>
      </c>
      <c r="E7" t="s">
        <v>1343</v>
      </c>
      <c r="F7" t="s">
        <v>1344</v>
      </c>
      <c r="G7" t="s">
        <v>839</v>
      </c>
      <c r="H7" s="14" t="s">
        <v>151</v>
      </c>
      <c r="I7" s="23">
        <v>43159</v>
      </c>
      <c r="J7" s="27">
        <v>24</v>
      </c>
      <c r="K7" s="4">
        <v>42430</v>
      </c>
      <c r="L7" s="4">
        <v>43159</v>
      </c>
      <c r="M7" s="27">
        <v>24</v>
      </c>
    </row>
    <row r="8" spans="1:16">
      <c r="A8" t="s">
        <v>771</v>
      </c>
      <c r="B8" t="s">
        <v>1505</v>
      </c>
      <c r="C8" s="29" t="s">
        <v>152</v>
      </c>
      <c r="D8" t="s">
        <v>153</v>
      </c>
      <c r="E8" t="s">
        <v>1345</v>
      </c>
      <c r="F8" t="s">
        <v>1346</v>
      </c>
      <c r="G8" t="s">
        <v>839</v>
      </c>
      <c r="H8" s="14" t="s">
        <v>154</v>
      </c>
      <c r="I8" s="14">
        <v>43738</v>
      </c>
      <c r="J8" s="27">
        <v>24</v>
      </c>
      <c r="K8" s="4">
        <v>43009</v>
      </c>
      <c r="L8" s="4">
        <v>43738</v>
      </c>
      <c r="M8" s="27">
        <v>24</v>
      </c>
    </row>
    <row r="9" spans="1:16">
      <c r="A9" t="s">
        <v>771</v>
      </c>
      <c r="B9" t="s">
        <v>1505</v>
      </c>
      <c r="C9" s="29" t="s">
        <v>155</v>
      </c>
      <c r="D9" t="s">
        <v>156</v>
      </c>
      <c r="E9" t="s">
        <v>1347</v>
      </c>
      <c r="F9" t="s">
        <v>1348</v>
      </c>
      <c r="G9" t="s">
        <v>839</v>
      </c>
      <c r="H9" s="14" t="s">
        <v>154</v>
      </c>
      <c r="I9" s="23">
        <v>43281</v>
      </c>
      <c r="J9" s="27">
        <v>24</v>
      </c>
      <c r="K9" s="4">
        <v>42552</v>
      </c>
      <c r="L9" s="4">
        <v>43281</v>
      </c>
      <c r="M9" s="27">
        <v>24</v>
      </c>
    </row>
    <row r="10" spans="1:16">
      <c r="A10" t="s">
        <v>771</v>
      </c>
      <c r="B10" t="s">
        <v>1505</v>
      </c>
      <c r="C10" s="29" t="s">
        <v>169</v>
      </c>
      <c r="D10" t="s">
        <v>170</v>
      </c>
      <c r="E10" t="s">
        <v>1349</v>
      </c>
      <c r="F10" t="s">
        <v>1350</v>
      </c>
      <c r="G10" t="s">
        <v>839</v>
      </c>
      <c r="H10" s="14" t="s">
        <v>171</v>
      </c>
      <c r="I10" s="23">
        <v>43982</v>
      </c>
      <c r="J10" s="27">
        <v>36</v>
      </c>
      <c r="K10" s="4">
        <v>42887</v>
      </c>
      <c r="L10" s="4">
        <v>43982</v>
      </c>
      <c r="M10" s="27">
        <v>36</v>
      </c>
    </row>
    <row r="11" spans="1:16">
      <c r="A11" t="s">
        <v>771</v>
      </c>
      <c r="B11" t="s">
        <v>1505</v>
      </c>
      <c r="C11" s="29" t="s">
        <v>163</v>
      </c>
      <c r="D11" t="s">
        <v>164</v>
      </c>
      <c r="E11" t="s">
        <v>1351</v>
      </c>
      <c r="F11" t="s">
        <v>1352</v>
      </c>
      <c r="G11" t="s">
        <v>839</v>
      </c>
      <c r="H11" s="14" t="s">
        <v>165</v>
      </c>
      <c r="I11" s="14">
        <v>43404</v>
      </c>
      <c r="J11" s="27">
        <v>12</v>
      </c>
      <c r="K11" s="4">
        <v>42675</v>
      </c>
      <c r="L11" s="4">
        <v>43404</v>
      </c>
      <c r="M11" s="27">
        <v>12</v>
      </c>
    </row>
    <row r="12" spans="1:16">
      <c r="A12" t="s">
        <v>771</v>
      </c>
      <c r="B12" t="s">
        <v>1505</v>
      </c>
      <c r="C12" s="29" t="s">
        <v>157</v>
      </c>
      <c r="D12" t="s">
        <v>158</v>
      </c>
      <c r="E12" t="s">
        <v>1353</v>
      </c>
      <c r="F12" t="s">
        <v>1354</v>
      </c>
      <c r="G12" t="s">
        <v>839</v>
      </c>
      <c r="H12" s="14" t="s">
        <v>159</v>
      </c>
      <c r="I12" s="23">
        <v>43465</v>
      </c>
      <c r="J12" s="27">
        <v>24</v>
      </c>
      <c r="K12" s="4">
        <v>42736</v>
      </c>
      <c r="L12" s="4">
        <v>43465</v>
      </c>
      <c r="M12" s="27">
        <v>24</v>
      </c>
    </row>
    <row r="13" spans="1:16">
      <c r="A13" t="s">
        <v>771</v>
      </c>
      <c r="B13" t="s">
        <v>1505</v>
      </c>
      <c r="C13" s="29" t="s">
        <v>172</v>
      </c>
      <c r="D13" t="s">
        <v>173</v>
      </c>
      <c r="E13" t="s">
        <v>1355</v>
      </c>
      <c r="F13" t="s">
        <v>1356</v>
      </c>
      <c r="G13" t="s">
        <v>839</v>
      </c>
      <c r="H13" s="14" t="s">
        <v>174</v>
      </c>
      <c r="I13" s="23">
        <v>43524</v>
      </c>
      <c r="J13" s="27">
        <v>24</v>
      </c>
      <c r="K13" s="4">
        <v>42795</v>
      </c>
      <c r="L13" s="4">
        <v>43524</v>
      </c>
      <c r="M13" s="27">
        <v>24</v>
      </c>
    </row>
    <row r="14" spans="1:16">
      <c r="A14" t="s">
        <v>771</v>
      </c>
      <c r="B14" t="s">
        <v>1505</v>
      </c>
      <c r="C14" s="29" t="s">
        <v>175</v>
      </c>
      <c r="D14" t="s">
        <v>176</v>
      </c>
      <c r="E14" t="s">
        <v>1357</v>
      </c>
      <c r="F14" t="s">
        <v>1358</v>
      </c>
      <c r="G14" t="s">
        <v>839</v>
      </c>
      <c r="H14" s="14" t="s">
        <v>177</v>
      </c>
      <c r="I14" s="23">
        <v>43677</v>
      </c>
      <c r="J14" s="27">
        <v>24</v>
      </c>
      <c r="K14" s="4">
        <v>42948</v>
      </c>
      <c r="L14" s="4">
        <v>43677</v>
      </c>
      <c r="M14" s="27">
        <v>24</v>
      </c>
    </row>
    <row r="15" spans="1:16">
      <c r="A15" t="s">
        <v>771</v>
      </c>
      <c r="B15" t="s">
        <v>1505</v>
      </c>
      <c r="C15" s="29" t="s">
        <v>5</v>
      </c>
      <c r="D15" t="s">
        <v>6</v>
      </c>
      <c r="E15" t="s">
        <v>1359</v>
      </c>
      <c r="F15" t="s">
        <v>1360</v>
      </c>
      <c r="G15" t="s">
        <v>839</v>
      </c>
      <c r="H15" s="14" t="s">
        <v>7</v>
      </c>
      <c r="I15" s="23">
        <v>43281</v>
      </c>
      <c r="J15" s="27">
        <v>18</v>
      </c>
      <c r="K15" s="4">
        <v>42736</v>
      </c>
      <c r="L15" s="4">
        <v>43465</v>
      </c>
      <c r="M15" s="27">
        <v>24</v>
      </c>
    </row>
    <row r="16" spans="1:16">
      <c r="A16" t="s">
        <v>771</v>
      </c>
      <c r="B16" t="s">
        <v>934</v>
      </c>
      <c r="C16" s="29" t="s">
        <v>526</v>
      </c>
      <c r="D16" t="s">
        <v>527</v>
      </c>
      <c r="E16" t="s">
        <v>1361</v>
      </c>
      <c r="F16" t="s">
        <v>1362</v>
      </c>
      <c r="G16" t="s">
        <v>839</v>
      </c>
      <c r="H16" s="14" t="s">
        <v>528</v>
      </c>
      <c r="I16" s="23">
        <v>43343</v>
      </c>
      <c r="J16" s="27">
        <v>12</v>
      </c>
      <c r="K16" s="4">
        <v>42979</v>
      </c>
      <c r="L16" s="4">
        <v>43343</v>
      </c>
      <c r="M16" s="27">
        <v>12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63"/>
  <dimension ref="A1:P6"/>
  <sheetViews>
    <sheetView workbookViewId="0"/>
  </sheetViews>
  <sheetFormatPr defaultRowHeight="12.75"/>
  <cols>
    <col min="1" max="1" width="29.1640625" bestFit="1" customWidth="1"/>
    <col min="2" max="2" width="12.33203125" bestFit="1" customWidth="1"/>
    <col min="3" max="3" width="15.83203125" bestFit="1" customWidth="1"/>
    <col min="4" max="4" width="53.33203125" bestFit="1" customWidth="1"/>
    <col min="5" max="5" width="9.1640625" bestFit="1" customWidth="1"/>
    <col min="6" max="6" width="37" bestFit="1" customWidth="1"/>
    <col min="7" max="7" width="18" bestFit="1" customWidth="1"/>
    <col min="8" max="9" width="10.1640625" bestFit="1" customWidth="1"/>
    <col min="10" max="10" width="3.1640625" bestFit="1" customWidth="1"/>
    <col min="11" max="12" width="10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808</v>
      </c>
      <c r="B2" t="s">
        <v>1505</v>
      </c>
      <c r="C2" s="29" t="s">
        <v>330</v>
      </c>
      <c r="D2" t="s">
        <v>331</v>
      </c>
      <c r="E2" t="s">
        <v>1363</v>
      </c>
      <c r="F2" t="s">
        <v>1364</v>
      </c>
      <c r="G2" t="s">
        <v>876</v>
      </c>
      <c r="H2" s="14" t="s">
        <v>332</v>
      </c>
      <c r="I2" s="14">
        <v>43098</v>
      </c>
      <c r="J2" s="27">
        <v>24</v>
      </c>
      <c r="K2" s="4">
        <v>42368</v>
      </c>
      <c r="L2" s="6">
        <v>43098</v>
      </c>
      <c r="M2" s="27">
        <v>24</v>
      </c>
    </row>
    <row r="3" spans="1:16">
      <c r="A3" t="s">
        <v>808</v>
      </c>
      <c r="B3" t="s">
        <v>1505</v>
      </c>
      <c r="C3" s="10" t="s">
        <v>333</v>
      </c>
      <c r="D3" s="10" t="s">
        <v>334</v>
      </c>
      <c r="E3">
        <v>31329217</v>
      </c>
      <c r="F3" t="s">
        <v>1365</v>
      </c>
      <c r="G3" t="s">
        <v>876</v>
      </c>
      <c r="H3" s="14" t="s">
        <v>335</v>
      </c>
      <c r="I3" s="23">
        <v>43981</v>
      </c>
      <c r="J3" s="27">
        <v>31</v>
      </c>
      <c r="K3" s="4">
        <v>39980</v>
      </c>
      <c r="L3" s="4">
        <v>43981</v>
      </c>
      <c r="M3" s="27">
        <v>31</v>
      </c>
    </row>
    <row r="4" spans="1:16">
      <c r="A4" t="s">
        <v>808</v>
      </c>
      <c r="B4" t="s">
        <v>934</v>
      </c>
      <c r="C4" s="29" t="s">
        <v>648</v>
      </c>
      <c r="D4" t="s">
        <v>649</v>
      </c>
      <c r="E4" t="s">
        <v>1366</v>
      </c>
      <c r="F4" t="s">
        <v>1367</v>
      </c>
      <c r="G4" t="s">
        <v>876</v>
      </c>
      <c r="H4" s="14" t="s">
        <v>650</v>
      </c>
      <c r="I4" s="23">
        <v>43210</v>
      </c>
      <c r="J4" s="27">
        <v>24</v>
      </c>
      <c r="K4" s="4">
        <v>41761</v>
      </c>
      <c r="L4" s="4">
        <v>42482</v>
      </c>
      <c r="M4" s="27">
        <v>24</v>
      </c>
    </row>
    <row r="5" spans="1:16">
      <c r="A5" t="s">
        <v>808</v>
      </c>
      <c r="B5" t="s">
        <v>934</v>
      </c>
      <c r="C5" s="10" t="s">
        <v>651</v>
      </c>
      <c r="D5" s="10" t="s">
        <v>652</v>
      </c>
      <c r="E5">
        <v>36035092</v>
      </c>
      <c r="F5" t="s">
        <v>1368</v>
      </c>
      <c r="G5" t="s">
        <v>876</v>
      </c>
      <c r="H5" s="14" t="s">
        <v>653</v>
      </c>
      <c r="I5" s="23">
        <v>43710</v>
      </c>
      <c r="J5" s="27">
        <v>24</v>
      </c>
      <c r="K5" s="4">
        <v>39475</v>
      </c>
      <c r="L5" s="4">
        <v>43710</v>
      </c>
      <c r="M5" s="27">
        <v>24</v>
      </c>
    </row>
    <row r="6" spans="1:16">
      <c r="A6" t="s">
        <v>808</v>
      </c>
      <c r="B6" t="s">
        <v>934</v>
      </c>
      <c r="C6" s="10" t="s">
        <v>654</v>
      </c>
      <c r="D6" s="10" t="s">
        <v>655</v>
      </c>
      <c r="E6">
        <v>46393226</v>
      </c>
      <c r="F6" t="s">
        <v>1369</v>
      </c>
      <c r="G6" t="s">
        <v>876</v>
      </c>
      <c r="H6" s="14" t="s">
        <v>656</v>
      </c>
      <c r="I6" s="23">
        <v>43160</v>
      </c>
      <c r="J6" s="27">
        <v>5</v>
      </c>
      <c r="K6" s="4">
        <v>39386</v>
      </c>
      <c r="L6" s="4">
        <v>43160</v>
      </c>
      <c r="M6" s="27">
        <v>5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64"/>
  <dimension ref="A1:P5"/>
  <sheetViews>
    <sheetView workbookViewId="0"/>
  </sheetViews>
  <sheetFormatPr defaultRowHeight="12.75"/>
  <cols>
    <col min="1" max="1" width="25.33203125" bestFit="1" customWidth="1"/>
    <col min="2" max="2" width="12.33203125" bestFit="1" customWidth="1"/>
    <col min="3" max="3" width="15.6640625" bestFit="1" customWidth="1"/>
    <col min="4" max="4" width="51.83203125" bestFit="1" customWidth="1"/>
    <col min="5" max="5" width="9.1640625" bestFit="1" customWidth="1"/>
    <col min="6" max="6" width="35" bestFit="1" customWidth="1"/>
    <col min="7" max="7" width="14.83203125" bestFit="1" customWidth="1"/>
    <col min="8" max="9" width="10.1640625" bestFit="1" customWidth="1"/>
    <col min="10" max="10" width="3.1640625" bestFit="1" customWidth="1"/>
    <col min="11" max="11" width="9.1640625" bestFit="1" customWidth="1"/>
    <col min="12" max="12" width="10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815</v>
      </c>
      <c r="B2" t="s">
        <v>1505</v>
      </c>
      <c r="C2" s="29" t="s">
        <v>375</v>
      </c>
      <c r="D2" t="s">
        <v>376</v>
      </c>
      <c r="E2" t="s">
        <v>1370</v>
      </c>
      <c r="F2" t="s">
        <v>1371</v>
      </c>
      <c r="G2" t="s">
        <v>883</v>
      </c>
      <c r="H2" s="14" t="s">
        <v>377</v>
      </c>
      <c r="I2" s="14">
        <v>43433</v>
      </c>
      <c r="J2" s="27">
        <v>24</v>
      </c>
      <c r="K2" s="4">
        <v>42339</v>
      </c>
      <c r="L2" s="4">
        <v>43433</v>
      </c>
      <c r="M2" s="27">
        <v>24</v>
      </c>
    </row>
    <row r="3" spans="1:16">
      <c r="A3" t="s">
        <v>815</v>
      </c>
      <c r="B3" t="s">
        <v>1505</v>
      </c>
      <c r="C3" s="29" t="s">
        <v>378</v>
      </c>
      <c r="D3" t="s">
        <v>379</v>
      </c>
      <c r="E3" t="s">
        <v>1372</v>
      </c>
      <c r="F3" t="s">
        <v>1373</v>
      </c>
      <c r="G3" t="s">
        <v>883</v>
      </c>
      <c r="H3" s="14" t="s">
        <v>380</v>
      </c>
      <c r="I3" s="14">
        <v>43434</v>
      </c>
      <c r="J3" s="27">
        <v>24</v>
      </c>
      <c r="K3" s="4">
        <v>42339</v>
      </c>
      <c r="L3" s="4">
        <v>43434</v>
      </c>
      <c r="M3" s="27">
        <v>24</v>
      </c>
    </row>
    <row r="4" spans="1:16">
      <c r="A4" t="s">
        <v>815</v>
      </c>
      <c r="B4" t="s">
        <v>1505</v>
      </c>
      <c r="C4" s="29" t="s">
        <v>381</v>
      </c>
      <c r="D4" t="s">
        <v>382</v>
      </c>
      <c r="E4" t="s">
        <v>1374</v>
      </c>
      <c r="F4" t="s">
        <v>1375</v>
      </c>
      <c r="G4" t="s">
        <v>883</v>
      </c>
      <c r="H4" s="14" t="s">
        <v>70</v>
      </c>
      <c r="I4" s="14">
        <v>43404</v>
      </c>
      <c r="J4" s="27">
        <v>36</v>
      </c>
      <c r="K4" s="4">
        <v>41944</v>
      </c>
      <c r="L4" s="4">
        <v>43404</v>
      </c>
      <c r="M4" s="27">
        <v>36</v>
      </c>
    </row>
    <row r="5" spans="1:16">
      <c r="A5" t="s">
        <v>815</v>
      </c>
      <c r="B5" t="s">
        <v>1505</v>
      </c>
      <c r="C5" s="29" t="s">
        <v>372</v>
      </c>
      <c r="D5" t="s">
        <v>373</v>
      </c>
      <c r="E5" t="s">
        <v>1376</v>
      </c>
      <c r="F5" t="s">
        <v>1377</v>
      </c>
      <c r="G5" t="s">
        <v>883</v>
      </c>
      <c r="H5" s="14" t="s">
        <v>374</v>
      </c>
      <c r="I5" s="23">
        <v>43496</v>
      </c>
      <c r="J5" s="27">
        <v>24</v>
      </c>
      <c r="K5" s="4">
        <v>42766</v>
      </c>
      <c r="L5" s="4">
        <v>43496</v>
      </c>
      <c r="M5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65"/>
  <dimension ref="A1:P8"/>
  <sheetViews>
    <sheetView workbookViewId="0"/>
  </sheetViews>
  <sheetFormatPr defaultRowHeight="12.75"/>
  <cols>
    <col min="1" max="1" width="21" bestFit="1" customWidth="1"/>
    <col min="2" max="2" width="12.33203125" bestFit="1" customWidth="1"/>
    <col min="3" max="3" width="15.6640625" bestFit="1" customWidth="1"/>
    <col min="4" max="4" width="44" bestFit="1" customWidth="1"/>
    <col min="5" max="5" width="9.1640625" bestFit="1" customWidth="1"/>
    <col min="6" max="6" width="27.1640625" bestFit="1" customWidth="1"/>
    <col min="7" max="7" width="10.33203125" bestFit="1" customWidth="1"/>
    <col min="8" max="9" width="10.1640625" bestFit="1" customWidth="1"/>
    <col min="10" max="10" width="3.1640625" bestFit="1" customWidth="1"/>
    <col min="11" max="12" width="10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817</v>
      </c>
      <c r="B2" t="s">
        <v>1505</v>
      </c>
      <c r="C2" s="29" t="s">
        <v>392</v>
      </c>
      <c r="D2" t="s">
        <v>393</v>
      </c>
      <c r="E2" t="s">
        <v>1378</v>
      </c>
      <c r="F2" t="s">
        <v>1379</v>
      </c>
      <c r="G2" t="s">
        <v>885</v>
      </c>
      <c r="H2" s="14" t="s">
        <v>394</v>
      </c>
      <c r="I2" s="14">
        <v>43651</v>
      </c>
      <c r="J2" s="27">
        <v>36</v>
      </c>
      <c r="K2" s="4">
        <v>39598</v>
      </c>
      <c r="L2" s="4">
        <v>43651</v>
      </c>
      <c r="M2" s="27">
        <v>36</v>
      </c>
    </row>
    <row r="3" spans="1:16">
      <c r="A3" t="s">
        <v>817</v>
      </c>
      <c r="B3" t="s">
        <v>1505</v>
      </c>
      <c r="C3" s="29" t="s">
        <v>83</v>
      </c>
      <c r="D3" t="s">
        <v>84</v>
      </c>
      <c r="E3" t="s">
        <v>1380</v>
      </c>
      <c r="F3" t="s">
        <v>1381</v>
      </c>
      <c r="G3" t="s">
        <v>885</v>
      </c>
      <c r="H3" s="14" t="s">
        <v>85</v>
      </c>
      <c r="I3" s="14">
        <v>44104</v>
      </c>
      <c r="J3" s="27">
        <v>24</v>
      </c>
      <c r="K3" s="4">
        <v>41456</v>
      </c>
      <c r="L3" s="4">
        <v>44104</v>
      </c>
      <c r="M3" s="27">
        <v>36</v>
      </c>
    </row>
    <row r="4" spans="1:16">
      <c r="A4" t="s">
        <v>817</v>
      </c>
      <c r="B4" t="s">
        <v>1505</v>
      </c>
      <c r="C4" s="29" t="s">
        <v>400</v>
      </c>
      <c r="D4" t="s">
        <v>401</v>
      </c>
      <c r="E4" t="s">
        <v>1382</v>
      </c>
      <c r="F4" t="s">
        <v>1383</v>
      </c>
      <c r="G4" t="s">
        <v>885</v>
      </c>
      <c r="H4" s="14" t="s">
        <v>326</v>
      </c>
      <c r="I4" s="14">
        <v>43404</v>
      </c>
      <c r="J4" s="27">
        <v>24</v>
      </c>
      <c r="K4" s="4">
        <v>41519</v>
      </c>
      <c r="L4" s="4">
        <v>43404</v>
      </c>
      <c r="M4" s="27">
        <v>24</v>
      </c>
    </row>
    <row r="5" spans="1:16">
      <c r="A5" t="s">
        <v>817</v>
      </c>
      <c r="B5" t="s">
        <v>1505</v>
      </c>
      <c r="C5" s="29" t="s">
        <v>86</v>
      </c>
      <c r="D5" t="s">
        <v>87</v>
      </c>
      <c r="E5" t="s">
        <v>1384</v>
      </c>
      <c r="F5" t="s">
        <v>1385</v>
      </c>
      <c r="G5" t="s">
        <v>885</v>
      </c>
      <c r="H5" s="14" t="s">
        <v>88</v>
      </c>
      <c r="I5" s="14">
        <v>43139</v>
      </c>
      <c r="J5" s="27">
        <v>24</v>
      </c>
      <c r="K5" s="4">
        <v>41318</v>
      </c>
      <c r="L5" s="4">
        <v>43139</v>
      </c>
      <c r="M5" s="27">
        <v>12</v>
      </c>
    </row>
    <row r="6" spans="1:16">
      <c r="A6" t="s">
        <v>817</v>
      </c>
      <c r="B6" t="s">
        <v>1505</v>
      </c>
      <c r="C6" s="29" t="s">
        <v>395</v>
      </c>
      <c r="D6" t="s">
        <v>396</v>
      </c>
      <c r="E6" t="s">
        <v>1386</v>
      </c>
      <c r="F6" t="s">
        <v>1387</v>
      </c>
      <c r="G6" t="s">
        <v>885</v>
      </c>
      <c r="H6" s="14" t="s">
        <v>121</v>
      </c>
      <c r="I6" s="14">
        <v>43738</v>
      </c>
      <c r="J6" s="27">
        <v>24</v>
      </c>
      <c r="K6" s="4">
        <v>41454</v>
      </c>
      <c r="L6" s="4">
        <v>43738</v>
      </c>
      <c r="M6" s="27">
        <v>24</v>
      </c>
    </row>
    <row r="7" spans="1:16">
      <c r="A7" t="s">
        <v>817</v>
      </c>
      <c r="B7" t="s">
        <v>1505</v>
      </c>
      <c r="C7" s="29" t="s">
        <v>397</v>
      </c>
      <c r="D7" t="s">
        <v>398</v>
      </c>
      <c r="E7" t="s">
        <v>1388</v>
      </c>
      <c r="F7" t="s">
        <v>1389</v>
      </c>
      <c r="G7" t="s">
        <v>885</v>
      </c>
      <c r="H7" s="14" t="s">
        <v>399</v>
      </c>
      <c r="I7" s="14">
        <v>43584</v>
      </c>
      <c r="J7" s="27">
        <v>24</v>
      </c>
      <c r="K7" s="4">
        <v>41683</v>
      </c>
      <c r="L7" s="4">
        <v>43584</v>
      </c>
      <c r="M7" s="27">
        <v>24</v>
      </c>
    </row>
    <row r="8" spans="1:16">
      <c r="A8" t="s">
        <v>817</v>
      </c>
      <c r="B8" t="s">
        <v>1505</v>
      </c>
      <c r="C8" s="29" t="s">
        <v>402</v>
      </c>
      <c r="D8" t="s">
        <v>403</v>
      </c>
      <c r="E8" t="s">
        <v>1390</v>
      </c>
      <c r="F8" t="s">
        <v>1391</v>
      </c>
      <c r="G8" t="s">
        <v>885</v>
      </c>
      <c r="H8" s="14" t="s">
        <v>133</v>
      </c>
      <c r="I8" s="23">
        <v>43496</v>
      </c>
      <c r="J8" s="27">
        <v>24</v>
      </c>
      <c r="K8" s="4">
        <v>42727</v>
      </c>
      <c r="L8" s="4">
        <v>43496</v>
      </c>
      <c r="M8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66"/>
  <dimension ref="A1:P2"/>
  <sheetViews>
    <sheetView workbookViewId="0"/>
  </sheetViews>
  <sheetFormatPr defaultRowHeight="12.75"/>
  <cols>
    <col min="1" max="1" width="19.6640625" bestFit="1" customWidth="1"/>
    <col min="2" max="2" width="8.83203125" bestFit="1" customWidth="1"/>
    <col min="3" max="3" width="15.6640625" bestFit="1" customWidth="1"/>
    <col min="4" max="4" width="52.83203125" bestFit="1" customWidth="1"/>
    <col min="5" max="5" width="9.1640625" bestFit="1" customWidth="1"/>
    <col min="6" max="6" width="14.5" bestFit="1" customWidth="1"/>
    <col min="7" max="7" width="9.5" bestFit="1" customWidth="1"/>
    <col min="8" max="9" width="10.1640625" bestFit="1" customWidth="1"/>
    <col min="10" max="10" width="3.1640625" bestFit="1" customWidth="1"/>
    <col min="11" max="11" width="9.1640625" bestFit="1" customWidth="1"/>
    <col min="12" max="12" width="10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829</v>
      </c>
      <c r="B2" t="s">
        <v>934</v>
      </c>
      <c r="C2" s="29" t="s">
        <v>739</v>
      </c>
      <c r="D2" t="s">
        <v>740</v>
      </c>
      <c r="E2" t="s">
        <v>1392</v>
      </c>
      <c r="F2" t="s">
        <v>1393</v>
      </c>
      <c r="G2" t="s">
        <v>897</v>
      </c>
      <c r="H2" s="14" t="s">
        <v>67</v>
      </c>
      <c r="I2" s="14">
        <v>43433</v>
      </c>
      <c r="J2" s="27">
        <v>24</v>
      </c>
      <c r="K2" s="4">
        <v>41609</v>
      </c>
      <c r="L2" s="4">
        <v>43433</v>
      </c>
      <c r="M2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67"/>
  <dimension ref="A1:P2"/>
  <sheetViews>
    <sheetView workbookViewId="0"/>
  </sheetViews>
  <sheetFormatPr defaultRowHeight="12.75"/>
  <cols>
    <col min="1" max="1" width="26.1640625" bestFit="1" customWidth="1"/>
    <col min="2" max="2" width="8.83203125" bestFit="1" customWidth="1"/>
    <col min="3" max="3" width="15.6640625" bestFit="1" customWidth="1"/>
    <col min="4" max="4" width="26.1640625" bestFit="1" customWidth="1"/>
    <col min="5" max="5" width="9.1640625" bestFit="1" customWidth="1"/>
    <col min="6" max="6" width="14.1640625" bestFit="1" customWidth="1"/>
    <col min="7" max="7" width="14.83203125" bestFit="1" customWidth="1"/>
    <col min="8" max="8" width="10.1640625" bestFit="1" customWidth="1"/>
    <col min="9" max="9" width="9.1640625" bestFit="1" customWidth="1"/>
    <col min="10" max="10" width="3.1640625" bestFit="1" customWidth="1"/>
    <col min="11" max="11" width="8.1640625" bestFit="1" customWidth="1"/>
    <col min="12" max="12" width="9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906</v>
      </c>
      <c r="B2" t="s">
        <v>934</v>
      </c>
      <c r="C2" s="29" t="s">
        <v>671</v>
      </c>
      <c r="D2" t="s">
        <v>672</v>
      </c>
      <c r="E2" t="s">
        <v>1394</v>
      </c>
      <c r="F2" t="s">
        <v>1395</v>
      </c>
      <c r="G2" t="s">
        <v>915</v>
      </c>
      <c r="H2" s="14" t="s">
        <v>13</v>
      </c>
      <c r="I2" s="23">
        <v>43553</v>
      </c>
      <c r="J2" s="27">
        <v>24</v>
      </c>
      <c r="K2" s="4">
        <v>42856</v>
      </c>
      <c r="L2" s="4">
        <v>43585</v>
      </c>
      <c r="M2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68"/>
  <dimension ref="A1:P4"/>
  <sheetViews>
    <sheetView workbookViewId="0"/>
  </sheetViews>
  <sheetFormatPr defaultRowHeight="12.75"/>
  <cols>
    <col min="1" max="1" width="24" bestFit="1" customWidth="1"/>
    <col min="2" max="2" width="12.33203125" bestFit="1" customWidth="1"/>
    <col min="3" max="3" width="15.6640625" bestFit="1" customWidth="1"/>
    <col min="4" max="4" width="45.83203125" bestFit="1" customWidth="1"/>
    <col min="5" max="5" width="9.1640625" bestFit="1" customWidth="1"/>
    <col min="6" max="6" width="29.5" bestFit="1" customWidth="1"/>
    <col min="7" max="7" width="13.33203125" bestFit="1" customWidth="1"/>
    <col min="8" max="9" width="10.1640625" bestFit="1" customWidth="1"/>
    <col min="10" max="10" width="3.1640625" bestFit="1" customWidth="1"/>
    <col min="11" max="11" width="8.1640625" bestFit="1" customWidth="1"/>
    <col min="12" max="12" width="10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770</v>
      </c>
      <c r="B2" t="s">
        <v>1505</v>
      </c>
      <c r="C2" s="29" t="s">
        <v>134</v>
      </c>
      <c r="D2" t="s">
        <v>135</v>
      </c>
      <c r="E2" t="s">
        <v>1396</v>
      </c>
      <c r="F2" t="s">
        <v>1397</v>
      </c>
      <c r="G2" t="s">
        <v>838</v>
      </c>
      <c r="H2" s="14" t="s">
        <v>136</v>
      </c>
      <c r="I2" s="23">
        <v>43434</v>
      </c>
      <c r="J2" s="27">
        <v>36</v>
      </c>
      <c r="K2" s="4">
        <v>41852</v>
      </c>
      <c r="L2" s="4">
        <v>43434</v>
      </c>
      <c r="M2" s="27">
        <v>24</v>
      </c>
    </row>
    <row r="3" spans="1:16">
      <c r="A3" t="s">
        <v>770</v>
      </c>
      <c r="B3" t="s">
        <v>1505</v>
      </c>
      <c r="C3" s="29" t="s">
        <v>137</v>
      </c>
      <c r="D3" t="s">
        <v>138</v>
      </c>
      <c r="E3" t="s">
        <v>1398</v>
      </c>
      <c r="F3" t="s">
        <v>1399</v>
      </c>
      <c r="G3" t="s">
        <v>838</v>
      </c>
      <c r="H3" s="14" t="s">
        <v>139</v>
      </c>
      <c r="I3" s="23">
        <v>43554</v>
      </c>
      <c r="J3" s="27">
        <v>24</v>
      </c>
      <c r="K3" s="4">
        <v>41426</v>
      </c>
      <c r="L3" s="4">
        <v>43554</v>
      </c>
      <c r="M3" s="27">
        <v>24</v>
      </c>
    </row>
    <row r="4" spans="1:16">
      <c r="A4" t="s">
        <v>770</v>
      </c>
      <c r="B4" t="s">
        <v>934</v>
      </c>
      <c r="C4" s="29" t="s">
        <v>524</v>
      </c>
      <c r="D4" t="s">
        <v>525</v>
      </c>
      <c r="E4" t="s">
        <v>1400</v>
      </c>
      <c r="F4" t="s">
        <v>1401</v>
      </c>
      <c r="G4" t="s">
        <v>838</v>
      </c>
      <c r="H4" s="14" t="s">
        <v>281</v>
      </c>
      <c r="I4" s="23">
        <v>43219</v>
      </c>
      <c r="J4" s="27">
        <v>24</v>
      </c>
      <c r="K4" s="4">
        <v>41061</v>
      </c>
      <c r="L4" s="4">
        <v>43219</v>
      </c>
      <c r="M4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69"/>
  <dimension ref="A1:P2"/>
  <sheetViews>
    <sheetView workbookViewId="0"/>
  </sheetViews>
  <sheetFormatPr defaultRowHeight="12.75"/>
  <cols>
    <col min="1" max="1" width="27.33203125" bestFit="1" customWidth="1"/>
    <col min="2" max="2" width="8.83203125" bestFit="1" customWidth="1"/>
    <col min="3" max="3" width="14.6640625" bestFit="1" customWidth="1"/>
    <col min="4" max="4" width="42" bestFit="1" customWidth="1"/>
    <col min="5" max="5" width="9.1640625" bestFit="1" customWidth="1"/>
    <col min="6" max="6" width="34.83203125" bestFit="1" customWidth="1"/>
    <col min="7" max="7" width="16.83203125" bestFit="1" customWidth="1"/>
    <col min="8" max="8" width="10.1640625" bestFit="1" customWidth="1"/>
    <col min="9" max="9" width="9.1640625" bestFit="1" customWidth="1"/>
    <col min="10" max="10" width="2.1640625" bestFit="1" customWidth="1"/>
    <col min="11" max="11" width="9.1640625" bestFit="1" customWidth="1"/>
    <col min="12" max="12" width="10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793</v>
      </c>
      <c r="B2" t="s">
        <v>934</v>
      </c>
      <c r="C2" s="29" t="s">
        <v>487</v>
      </c>
      <c r="D2" t="s">
        <v>488</v>
      </c>
      <c r="E2" t="s">
        <v>1402</v>
      </c>
      <c r="F2" t="s">
        <v>1403</v>
      </c>
      <c r="G2" t="s">
        <v>861</v>
      </c>
      <c r="H2" s="14" t="s">
        <v>489</v>
      </c>
      <c r="I2" s="14">
        <v>43251</v>
      </c>
      <c r="J2" s="27">
        <v>6</v>
      </c>
      <c r="K2" s="4">
        <v>42339</v>
      </c>
      <c r="L2" s="4">
        <v>43069</v>
      </c>
      <c r="M2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70"/>
  <dimension ref="A1:P10"/>
  <sheetViews>
    <sheetView workbookViewId="0"/>
  </sheetViews>
  <sheetFormatPr defaultRowHeight="12.75"/>
  <cols>
    <col min="1" max="1" width="27.5" bestFit="1" customWidth="1"/>
    <col min="2" max="2" width="12.33203125" bestFit="1" customWidth="1"/>
    <col min="3" max="3" width="15.6640625" bestFit="1" customWidth="1"/>
    <col min="4" max="4" width="61" bestFit="1" customWidth="1"/>
    <col min="5" max="5" width="9.1640625" bestFit="1" customWidth="1"/>
    <col min="6" max="6" width="52.83203125" bestFit="1" customWidth="1"/>
    <col min="7" max="7" width="16.1640625" bestFit="1" customWidth="1"/>
    <col min="8" max="9" width="10.1640625" bestFit="1" customWidth="1"/>
    <col min="10" max="10" width="3.1640625" bestFit="1" customWidth="1"/>
    <col min="11" max="12" width="10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814</v>
      </c>
      <c r="B2" t="s">
        <v>1505</v>
      </c>
      <c r="C2" s="29" t="s">
        <v>74</v>
      </c>
      <c r="D2" t="s">
        <v>75</v>
      </c>
      <c r="E2" t="s">
        <v>1404</v>
      </c>
      <c r="F2" t="s">
        <v>1405</v>
      </c>
      <c r="G2" t="s">
        <v>882</v>
      </c>
      <c r="H2" s="14" t="s">
        <v>76</v>
      </c>
      <c r="I2" s="14">
        <v>43159</v>
      </c>
      <c r="J2" s="27">
        <v>48</v>
      </c>
      <c r="K2" s="4">
        <v>42064</v>
      </c>
      <c r="L2" s="4">
        <v>43159</v>
      </c>
      <c r="M2" s="27">
        <v>24</v>
      </c>
    </row>
    <row r="3" spans="1:16">
      <c r="A3" t="s">
        <v>814</v>
      </c>
      <c r="B3" t="s">
        <v>1505</v>
      </c>
      <c r="C3" s="29" t="s">
        <v>357</v>
      </c>
      <c r="D3" t="s">
        <v>358</v>
      </c>
      <c r="E3" t="s">
        <v>1406</v>
      </c>
      <c r="F3" t="s">
        <v>1407</v>
      </c>
      <c r="G3" t="s">
        <v>882</v>
      </c>
      <c r="H3" s="14" t="s">
        <v>359</v>
      </c>
      <c r="I3" s="14">
        <v>43434</v>
      </c>
      <c r="J3" s="27">
        <v>24</v>
      </c>
      <c r="K3" s="4">
        <v>40819</v>
      </c>
      <c r="L3" s="4">
        <v>43434</v>
      </c>
      <c r="M3" s="27">
        <v>24</v>
      </c>
    </row>
    <row r="4" spans="1:16">
      <c r="A4" t="s">
        <v>814</v>
      </c>
      <c r="B4" t="s">
        <v>1505</v>
      </c>
      <c r="C4" s="29" t="s">
        <v>360</v>
      </c>
      <c r="D4" t="s">
        <v>361</v>
      </c>
      <c r="E4" t="s">
        <v>1408</v>
      </c>
      <c r="F4" t="s">
        <v>1409</v>
      </c>
      <c r="G4" t="s">
        <v>882</v>
      </c>
      <c r="H4" s="14" t="s">
        <v>362</v>
      </c>
      <c r="I4" s="23">
        <v>43159</v>
      </c>
      <c r="J4" s="27">
        <v>24</v>
      </c>
      <c r="K4" s="4">
        <v>42064</v>
      </c>
      <c r="L4" s="4">
        <v>43159</v>
      </c>
      <c r="M4" s="27">
        <v>24</v>
      </c>
    </row>
    <row r="5" spans="1:16">
      <c r="A5" t="s">
        <v>814</v>
      </c>
      <c r="B5" t="s">
        <v>1505</v>
      </c>
      <c r="C5" s="29" t="s">
        <v>363</v>
      </c>
      <c r="D5" t="s">
        <v>364</v>
      </c>
      <c r="E5" t="s">
        <v>1410</v>
      </c>
      <c r="F5" t="s">
        <v>1411</v>
      </c>
      <c r="G5" t="s">
        <v>882</v>
      </c>
      <c r="H5" s="14" t="s">
        <v>88</v>
      </c>
      <c r="I5" s="23">
        <v>43616</v>
      </c>
      <c r="J5" s="27">
        <v>24</v>
      </c>
      <c r="K5" s="4">
        <v>42036</v>
      </c>
      <c r="L5" s="4">
        <v>43251</v>
      </c>
      <c r="M5" s="27">
        <v>24</v>
      </c>
    </row>
    <row r="6" spans="1:16">
      <c r="A6" t="s">
        <v>814</v>
      </c>
      <c r="B6" t="s">
        <v>1505</v>
      </c>
      <c r="C6" s="29" t="s">
        <v>365</v>
      </c>
      <c r="D6" t="s">
        <v>366</v>
      </c>
      <c r="E6" t="s">
        <v>1412</v>
      </c>
      <c r="F6" t="s">
        <v>1413</v>
      </c>
      <c r="G6" t="s">
        <v>882</v>
      </c>
      <c r="H6" s="14" t="s">
        <v>367</v>
      </c>
      <c r="I6" s="23">
        <v>43616</v>
      </c>
      <c r="J6" s="27">
        <v>24</v>
      </c>
      <c r="K6" s="4">
        <v>41609</v>
      </c>
      <c r="L6" s="4">
        <v>43616</v>
      </c>
      <c r="M6" s="27">
        <v>24</v>
      </c>
    </row>
    <row r="7" spans="1:16">
      <c r="A7" t="s">
        <v>814</v>
      </c>
      <c r="B7" t="s">
        <v>1505</v>
      </c>
      <c r="C7" s="29" t="s">
        <v>368</v>
      </c>
      <c r="D7" t="s">
        <v>369</v>
      </c>
      <c r="E7" t="s">
        <v>1414</v>
      </c>
      <c r="F7" t="s">
        <v>1415</v>
      </c>
      <c r="G7" t="s">
        <v>882</v>
      </c>
      <c r="H7" s="14" t="s">
        <v>10</v>
      </c>
      <c r="I7" s="23">
        <v>43646</v>
      </c>
      <c r="J7" s="27">
        <v>24</v>
      </c>
      <c r="K7" s="4">
        <v>42339</v>
      </c>
      <c r="L7" s="4">
        <v>43677</v>
      </c>
      <c r="M7" s="27">
        <v>24</v>
      </c>
    </row>
    <row r="8" spans="1:16">
      <c r="A8" t="s">
        <v>814</v>
      </c>
      <c r="B8" t="s">
        <v>1505</v>
      </c>
      <c r="C8" s="29" t="s">
        <v>370</v>
      </c>
      <c r="D8" t="s">
        <v>371</v>
      </c>
      <c r="E8" t="s">
        <v>1416</v>
      </c>
      <c r="F8" t="s">
        <v>1417</v>
      </c>
      <c r="G8" t="s">
        <v>882</v>
      </c>
      <c r="H8" s="14" t="s">
        <v>67</v>
      </c>
      <c r="I8" s="23">
        <v>43433</v>
      </c>
      <c r="J8" s="27">
        <v>24</v>
      </c>
      <c r="K8" s="4">
        <v>40466</v>
      </c>
      <c r="L8" s="4">
        <v>43433</v>
      </c>
      <c r="M8" s="27">
        <v>24</v>
      </c>
    </row>
    <row r="9" spans="1:16">
      <c r="A9" t="s">
        <v>814</v>
      </c>
      <c r="B9" t="s">
        <v>934</v>
      </c>
      <c r="C9" s="29" t="s">
        <v>675</v>
      </c>
      <c r="D9" t="s">
        <v>676</v>
      </c>
      <c r="E9" t="s">
        <v>1418</v>
      </c>
      <c r="F9" t="s">
        <v>1419</v>
      </c>
      <c r="G9" t="s">
        <v>882</v>
      </c>
      <c r="H9" s="14" t="s">
        <v>677</v>
      </c>
      <c r="I9" s="23">
        <v>43168</v>
      </c>
      <c r="J9" s="27">
        <v>24</v>
      </c>
      <c r="K9" s="4">
        <v>39776</v>
      </c>
      <c r="L9" s="4">
        <v>43159</v>
      </c>
      <c r="M9" s="27">
        <v>24</v>
      </c>
    </row>
    <row r="10" spans="1:16">
      <c r="A10" t="s">
        <v>814</v>
      </c>
      <c r="B10" t="s">
        <v>934</v>
      </c>
      <c r="C10" s="29" t="s">
        <v>497</v>
      </c>
      <c r="D10" t="s">
        <v>498</v>
      </c>
      <c r="E10" t="s">
        <v>1420</v>
      </c>
      <c r="F10" t="s">
        <v>1421</v>
      </c>
      <c r="G10" t="s">
        <v>882</v>
      </c>
      <c r="H10" s="14" t="s">
        <v>203</v>
      </c>
      <c r="I10" s="23">
        <v>43371</v>
      </c>
      <c r="J10" s="27">
        <v>17</v>
      </c>
      <c r="K10" s="4">
        <v>42826</v>
      </c>
      <c r="L10" s="4">
        <v>43371</v>
      </c>
      <c r="M10" s="27">
        <v>18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71"/>
  <dimension ref="A1:P7"/>
  <sheetViews>
    <sheetView workbookViewId="0"/>
  </sheetViews>
  <sheetFormatPr defaultRowHeight="12.75"/>
  <cols>
    <col min="1" max="1" width="26" bestFit="1" customWidth="1"/>
    <col min="2" max="2" width="12.33203125" bestFit="1" customWidth="1"/>
    <col min="3" max="3" width="15.6640625" bestFit="1" customWidth="1"/>
    <col min="4" max="4" width="32.5" bestFit="1" customWidth="1"/>
    <col min="5" max="5" width="9.1640625" bestFit="1" customWidth="1"/>
    <col min="6" max="6" width="20" bestFit="1" customWidth="1"/>
    <col min="7" max="7" width="15" bestFit="1" customWidth="1"/>
    <col min="8" max="9" width="10.1640625" bestFit="1" customWidth="1"/>
    <col min="10" max="10" width="3.1640625" bestFit="1" customWidth="1"/>
    <col min="11" max="11" width="9.1640625" bestFit="1" customWidth="1"/>
    <col min="12" max="12" width="10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777</v>
      </c>
      <c r="B2" t="s">
        <v>1505</v>
      </c>
      <c r="C2" s="29" t="s">
        <v>192</v>
      </c>
      <c r="D2" t="s">
        <v>193</v>
      </c>
      <c r="E2" t="s">
        <v>1422</v>
      </c>
      <c r="F2" t="s">
        <v>1423</v>
      </c>
      <c r="G2" t="s">
        <v>845</v>
      </c>
      <c r="H2" s="14" t="s">
        <v>194</v>
      </c>
      <c r="I2" s="23">
        <v>43434</v>
      </c>
      <c r="J2" s="27">
        <v>24</v>
      </c>
      <c r="K2" s="4">
        <v>42705</v>
      </c>
      <c r="L2" s="4">
        <v>43434</v>
      </c>
      <c r="M2" s="27">
        <v>24</v>
      </c>
    </row>
    <row r="3" spans="1:16">
      <c r="A3" t="s">
        <v>777</v>
      </c>
      <c r="B3" t="s">
        <v>1505</v>
      </c>
      <c r="C3" s="29" t="s">
        <v>14</v>
      </c>
      <c r="D3" t="s">
        <v>15</v>
      </c>
      <c r="E3" t="s">
        <v>1424</v>
      </c>
      <c r="F3" t="s">
        <v>1425</v>
      </c>
      <c r="G3" t="s">
        <v>845</v>
      </c>
      <c r="H3" s="14" t="s">
        <v>16</v>
      </c>
      <c r="I3" s="23">
        <v>43100</v>
      </c>
      <c r="J3" s="27">
        <v>24</v>
      </c>
      <c r="K3" s="4">
        <v>42736</v>
      </c>
      <c r="L3" s="4">
        <v>43830</v>
      </c>
      <c r="M3" s="27">
        <v>36</v>
      </c>
    </row>
    <row r="4" spans="1:16">
      <c r="A4" t="s">
        <v>777</v>
      </c>
      <c r="B4" t="s">
        <v>1505</v>
      </c>
      <c r="C4" s="29" t="s">
        <v>195</v>
      </c>
      <c r="D4" t="s">
        <v>196</v>
      </c>
      <c r="E4" t="s">
        <v>1426</v>
      </c>
      <c r="F4" t="s">
        <v>1427</v>
      </c>
      <c r="G4" t="s">
        <v>845</v>
      </c>
      <c r="H4" s="14" t="s">
        <v>197</v>
      </c>
      <c r="I4" s="23">
        <v>43584</v>
      </c>
      <c r="J4" s="27">
        <v>24</v>
      </c>
      <c r="K4" s="4">
        <v>42856</v>
      </c>
      <c r="L4" s="4">
        <v>43584</v>
      </c>
      <c r="M4" s="27">
        <v>24</v>
      </c>
    </row>
    <row r="5" spans="1:16">
      <c r="A5" t="s">
        <v>777</v>
      </c>
      <c r="B5" t="s">
        <v>1505</v>
      </c>
      <c r="C5" s="29" t="s">
        <v>17</v>
      </c>
      <c r="D5" t="s">
        <v>18</v>
      </c>
      <c r="E5" t="s">
        <v>1428</v>
      </c>
      <c r="F5" t="s">
        <v>1429</v>
      </c>
      <c r="G5" t="s">
        <v>845</v>
      </c>
      <c r="H5" s="14" t="s">
        <v>19</v>
      </c>
      <c r="I5" s="23">
        <v>43677</v>
      </c>
      <c r="J5" s="27">
        <v>24</v>
      </c>
      <c r="K5" s="4">
        <v>42795</v>
      </c>
      <c r="L5" s="4">
        <v>43646</v>
      </c>
      <c r="M5" s="27">
        <v>28</v>
      </c>
    </row>
    <row r="6" spans="1:16">
      <c r="A6" t="s">
        <v>777</v>
      </c>
      <c r="B6" t="s">
        <v>934</v>
      </c>
      <c r="C6" s="29" t="s">
        <v>542</v>
      </c>
      <c r="D6" t="s">
        <v>543</v>
      </c>
      <c r="E6" t="s">
        <v>1430</v>
      </c>
      <c r="F6" t="s">
        <v>1431</v>
      </c>
      <c r="G6" t="s">
        <v>845</v>
      </c>
      <c r="H6" s="14" t="s">
        <v>19</v>
      </c>
      <c r="I6" s="23">
        <v>43312</v>
      </c>
      <c r="J6" s="27">
        <v>24</v>
      </c>
      <c r="K6" s="4">
        <v>43009</v>
      </c>
      <c r="L6" s="4">
        <v>43738</v>
      </c>
      <c r="M6" s="27">
        <v>24</v>
      </c>
    </row>
    <row r="7" spans="1:16">
      <c r="A7" t="s">
        <v>777</v>
      </c>
      <c r="B7" t="s">
        <v>934</v>
      </c>
      <c r="C7" s="29" t="s">
        <v>544</v>
      </c>
      <c r="D7" t="s">
        <v>545</v>
      </c>
      <c r="E7" t="s">
        <v>1432</v>
      </c>
      <c r="F7" t="s">
        <v>1433</v>
      </c>
      <c r="G7" t="s">
        <v>845</v>
      </c>
      <c r="H7" s="14" t="s">
        <v>546</v>
      </c>
      <c r="I7" s="23">
        <v>43090</v>
      </c>
      <c r="J7" s="27">
        <v>24</v>
      </c>
      <c r="K7" s="4">
        <v>43009</v>
      </c>
      <c r="L7" s="4">
        <v>43738</v>
      </c>
      <c r="M7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72"/>
  <dimension ref="A1:P3"/>
  <sheetViews>
    <sheetView workbookViewId="0"/>
  </sheetViews>
  <sheetFormatPr defaultRowHeight="12.75"/>
  <cols>
    <col min="1" max="1" width="21.33203125" bestFit="1" customWidth="1"/>
    <col min="2" max="2" width="12.33203125" bestFit="1" customWidth="1"/>
    <col min="3" max="3" width="15.6640625" bestFit="1" customWidth="1"/>
    <col min="4" max="4" width="51.5" bestFit="1" customWidth="1"/>
    <col min="5" max="5" width="9.1640625" bestFit="1" customWidth="1"/>
    <col min="6" max="6" width="35.1640625" bestFit="1" customWidth="1"/>
    <col min="7" max="7" width="10.6640625" bestFit="1" customWidth="1"/>
    <col min="8" max="9" width="10.1640625" bestFit="1" customWidth="1"/>
    <col min="10" max="10" width="3.1640625" bestFit="1" customWidth="1"/>
    <col min="11" max="11" width="9.1640625" bestFit="1" customWidth="1"/>
    <col min="12" max="12" width="10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785</v>
      </c>
      <c r="B2" t="s">
        <v>1505</v>
      </c>
      <c r="C2" s="29" t="s">
        <v>246</v>
      </c>
      <c r="D2" t="s">
        <v>247</v>
      </c>
      <c r="E2" t="s">
        <v>1434</v>
      </c>
      <c r="F2" t="s">
        <v>1435</v>
      </c>
      <c r="G2" t="s">
        <v>853</v>
      </c>
      <c r="H2" s="14" t="s">
        <v>248</v>
      </c>
      <c r="I2" s="23">
        <v>43100</v>
      </c>
      <c r="J2" s="27">
        <v>12</v>
      </c>
      <c r="K2" s="4">
        <v>41820</v>
      </c>
      <c r="L2" s="4">
        <v>43100</v>
      </c>
      <c r="M2" s="27">
        <v>12</v>
      </c>
    </row>
    <row r="3" spans="1:16">
      <c r="A3" t="s">
        <v>785</v>
      </c>
      <c r="B3" t="s">
        <v>1505</v>
      </c>
      <c r="C3" s="29" t="s">
        <v>249</v>
      </c>
      <c r="D3" t="s">
        <v>250</v>
      </c>
      <c r="E3" t="s">
        <v>1436</v>
      </c>
      <c r="F3" t="s">
        <v>1437</v>
      </c>
      <c r="G3" t="s">
        <v>853</v>
      </c>
      <c r="H3" s="14" t="s">
        <v>251</v>
      </c>
      <c r="I3" s="23">
        <v>43131</v>
      </c>
      <c r="J3" s="27">
        <v>12</v>
      </c>
      <c r="K3" s="4">
        <v>42401</v>
      </c>
      <c r="L3" s="4">
        <v>43131</v>
      </c>
      <c r="M3" s="27">
        <v>12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73"/>
  <dimension ref="A1:P6"/>
  <sheetViews>
    <sheetView workbookViewId="0"/>
  </sheetViews>
  <sheetFormatPr defaultRowHeight="12.75"/>
  <cols>
    <col min="1" max="1" width="25" bestFit="1" customWidth="1"/>
    <col min="2" max="2" width="12.33203125" bestFit="1" customWidth="1"/>
    <col min="3" max="3" width="15.6640625" bestFit="1" customWidth="1"/>
    <col min="4" max="4" width="45.5" bestFit="1" customWidth="1"/>
    <col min="5" max="5" width="9.1640625" bestFit="1" customWidth="1"/>
    <col min="6" max="6" width="64.83203125" bestFit="1" customWidth="1"/>
    <col min="7" max="7" width="14.5" bestFit="1" customWidth="1"/>
    <col min="8" max="8" width="10.1640625" bestFit="1" customWidth="1"/>
    <col min="9" max="9" width="9.1640625" bestFit="1" customWidth="1"/>
    <col min="10" max="10" width="3.1640625" bestFit="1" customWidth="1"/>
    <col min="11" max="11" width="9.1640625" bestFit="1" customWidth="1"/>
    <col min="12" max="12" width="10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826</v>
      </c>
      <c r="B2" t="s">
        <v>1505</v>
      </c>
      <c r="C2" s="29" t="s">
        <v>106</v>
      </c>
      <c r="D2" t="s">
        <v>107</v>
      </c>
      <c r="E2" t="s">
        <v>1438</v>
      </c>
      <c r="F2" t="s">
        <v>1439</v>
      </c>
      <c r="G2" t="s">
        <v>894</v>
      </c>
      <c r="H2" s="14" t="s">
        <v>108</v>
      </c>
      <c r="I2" s="23">
        <v>43343</v>
      </c>
      <c r="J2" s="27">
        <v>36</v>
      </c>
      <c r="K2" s="4">
        <v>38808</v>
      </c>
      <c r="L2" s="4">
        <v>43343</v>
      </c>
      <c r="M2" s="27">
        <v>24</v>
      </c>
    </row>
    <row r="3" spans="1:16">
      <c r="A3" t="s">
        <v>826</v>
      </c>
      <c r="B3" t="s">
        <v>1505</v>
      </c>
      <c r="C3" s="29" t="s">
        <v>104</v>
      </c>
      <c r="D3" t="s">
        <v>105</v>
      </c>
      <c r="E3" t="s">
        <v>1440</v>
      </c>
      <c r="F3" t="s">
        <v>1441</v>
      </c>
      <c r="G3" t="s">
        <v>894</v>
      </c>
      <c r="H3" s="14" t="s">
        <v>58</v>
      </c>
      <c r="I3" s="14">
        <v>43131</v>
      </c>
      <c r="J3" s="27">
        <v>36</v>
      </c>
      <c r="K3" s="4">
        <v>42979</v>
      </c>
      <c r="L3" s="4">
        <v>43769</v>
      </c>
      <c r="M3" s="27">
        <v>26</v>
      </c>
    </row>
    <row r="4" spans="1:16">
      <c r="A4" t="s">
        <v>826</v>
      </c>
      <c r="B4" t="s">
        <v>1505</v>
      </c>
      <c r="C4" s="29" t="s">
        <v>450</v>
      </c>
      <c r="D4" t="s">
        <v>451</v>
      </c>
      <c r="E4" t="s">
        <v>1442</v>
      </c>
      <c r="F4" t="s">
        <v>1443</v>
      </c>
      <c r="G4" t="s">
        <v>894</v>
      </c>
      <c r="H4" s="14" t="s">
        <v>452</v>
      </c>
      <c r="I4" s="23">
        <v>43600</v>
      </c>
      <c r="J4" s="27">
        <v>30</v>
      </c>
      <c r="K4" s="4">
        <v>42705</v>
      </c>
      <c r="L4" s="4">
        <v>43600</v>
      </c>
      <c r="M4" s="27">
        <v>30</v>
      </c>
    </row>
    <row r="5" spans="1:16">
      <c r="A5" t="s">
        <v>826</v>
      </c>
      <c r="B5" t="s">
        <v>1505</v>
      </c>
      <c r="C5" s="29" t="s">
        <v>447</v>
      </c>
      <c r="D5" t="s">
        <v>448</v>
      </c>
      <c r="E5" t="s">
        <v>1444</v>
      </c>
      <c r="F5" t="s">
        <v>1445</v>
      </c>
      <c r="G5" t="s">
        <v>894</v>
      </c>
      <c r="H5" s="14" t="s">
        <v>449</v>
      </c>
      <c r="I5" s="14">
        <v>43644</v>
      </c>
      <c r="J5" s="27">
        <v>24</v>
      </c>
      <c r="K5" s="4">
        <v>42917</v>
      </c>
      <c r="L5" s="4">
        <v>43644</v>
      </c>
      <c r="M5" s="27">
        <v>24</v>
      </c>
    </row>
    <row r="6" spans="1:16">
      <c r="A6" t="s">
        <v>826</v>
      </c>
      <c r="B6" t="s">
        <v>934</v>
      </c>
      <c r="C6" s="29" t="s">
        <v>505</v>
      </c>
      <c r="D6" t="s">
        <v>506</v>
      </c>
      <c r="E6" t="s">
        <v>1446</v>
      </c>
      <c r="F6" t="s">
        <v>1447</v>
      </c>
      <c r="G6" t="s">
        <v>894</v>
      </c>
      <c r="H6" s="14" t="s">
        <v>507</v>
      </c>
      <c r="I6" s="14">
        <v>43837</v>
      </c>
      <c r="J6" s="27">
        <v>24</v>
      </c>
      <c r="K6" s="4">
        <v>42339</v>
      </c>
      <c r="L6" s="6">
        <v>43837</v>
      </c>
      <c r="M6" s="27">
        <v>25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74"/>
  <dimension ref="A1:P3"/>
  <sheetViews>
    <sheetView workbookViewId="0"/>
  </sheetViews>
  <sheetFormatPr defaultRowHeight="12.75"/>
  <cols>
    <col min="1" max="1" width="23.5" bestFit="1" customWidth="1"/>
    <col min="2" max="2" width="8.83203125" bestFit="1" customWidth="1"/>
    <col min="3" max="3" width="15.6640625" bestFit="1" customWidth="1"/>
    <col min="4" max="4" width="37.33203125" bestFit="1" customWidth="1"/>
    <col min="5" max="5" width="9.1640625" bestFit="1" customWidth="1"/>
    <col min="6" max="6" width="25.33203125" bestFit="1" customWidth="1"/>
    <col min="7" max="7" width="12.83203125" bestFit="1" customWidth="1"/>
    <col min="8" max="9" width="10.1640625" bestFit="1" customWidth="1"/>
    <col min="10" max="10" width="3.1640625" bestFit="1" customWidth="1"/>
    <col min="11" max="12" width="10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779</v>
      </c>
      <c r="B2" t="s">
        <v>934</v>
      </c>
      <c r="C2" s="29" t="s">
        <v>548</v>
      </c>
      <c r="D2" t="s">
        <v>549</v>
      </c>
      <c r="E2" t="s">
        <v>1448</v>
      </c>
      <c r="F2" t="s">
        <v>1449</v>
      </c>
      <c r="G2" t="s">
        <v>847</v>
      </c>
      <c r="H2" s="14" t="s">
        <v>550</v>
      </c>
      <c r="I2" s="23">
        <v>43463</v>
      </c>
      <c r="J2" s="27">
        <v>24</v>
      </c>
      <c r="K2" s="4">
        <v>43083</v>
      </c>
      <c r="L2" s="4">
        <v>43812</v>
      </c>
      <c r="M2" s="27">
        <v>24</v>
      </c>
    </row>
    <row r="3" spans="1:16">
      <c r="A3" t="s">
        <v>779</v>
      </c>
      <c r="B3" t="s">
        <v>934</v>
      </c>
      <c r="C3" s="29" t="s">
        <v>551</v>
      </c>
      <c r="D3" t="s">
        <v>552</v>
      </c>
      <c r="E3" t="s">
        <v>1450</v>
      </c>
      <c r="F3" t="s">
        <v>1451</v>
      </c>
      <c r="G3" t="s">
        <v>847</v>
      </c>
      <c r="H3" s="14" t="s">
        <v>550</v>
      </c>
      <c r="I3" s="23">
        <v>43098</v>
      </c>
      <c r="J3" s="27">
        <v>12</v>
      </c>
      <c r="K3" s="4">
        <v>43089</v>
      </c>
      <c r="L3" s="4">
        <v>43453</v>
      </c>
      <c r="M3" s="27">
        <v>12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75"/>
  <dimension ref="A1:P2"/>
  <sheetViews>
    <sheetView workbookViewId="0"/>
  </sheetViews>
  <sheetFormatPr defaultRowHeight="12.75"/>
  <cols>
    <col min="1" max="1" width="25.83203125" bestFit="1" customWidth="1"/>
    <col min="2" max="2" width="12.33203125" bestFit="1" customWidth="1"/>
    <col min="3" max="3" width="15.6640625" bestFit="1" customWidth="1"/>
    <col min="4" max="4" width="56.1640625" bestFit="1" customWidth="1"/>
    <col min="5" max="5" width="9.1640625" bestFit="1" customWidth="1"/>
    <col min="6" max="6" width="35.1640625" bestFit="1" customWidth="1"/>
    <col min="7" max="7" width="14.5" bestFit="1" customWidth="1"/>
    <col min="8" max="8" width="10.1640625" bestFit="1" customWidth="1"/>
    <col min="9" max="9" width="9.1640625" bestFit="1" customWidth="1"/>
    <col min="10" max="10" width="3.1640625" bestFit="1" customWidth="1"/>
    <col min="11" max="11" width="8.1640625" bestFit="1" customWidth="1"/>
    <col min="12" max="12" width="9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799</v>
      </c>
      <c r="B2" t="s">
        <v>1505</v>
      </c>
      <c r="C2" s="29" t="s">
        <v>282</v>
      </c>
      <c r="D2" t="s">
        <v>283</v>
      </c>
      <c r="E2" t="s">
        <v>1452</v>
      </c>
      <c r="F2" t="s">
        <v>1453</v>
      </c>
      <c r="G2" t="s">
        <v>867</v>
      </c>
      <c r="H2" s="14" t="s">
        <v>284</v>
      </c>
      <c r="I2" s="23">
        <v>43343</v>
      </c>
      <c r="J2" s="27">
        <v>24</v>
      </c>
      <c r="K2" s="4">
        <v>42583</v>
      </c>
      <c r="L2" s="4">
        <v>43343</v>
      </c>
      <c r="M2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76"/>
  <dimension ref="A1:P5"/>
  <sheetViews>
    <sheetView workbookViewId="0"/>
  </sheetViews>
  <sheetFormatPr defaultRowHeight="12.75"/>
  <cols>
    <col min="1" max="1" width="20.83203125" bestFit="1" customWidth="1"/>
    <col min="2" max="2" width="12.33203125" bestFit="1" customWidth="1"/>
    <col min="3" max="3" width="15.6640625" bestFit="1" customWidth="1"/>
    <col min="4" max="4" width="53.33203125" bestFit="1" customWidth="1"/>
    <col min="5" max="5" width="9.1640625" bestFit="1" customWidth="1"/>
    <col min="6" max="6" width="36.5" bestFit="1" customWidth="1"/>
    <col min="7" max="7" width="10.5" bestFit="1" customWidth="1"/>
    <col min="8" max="9" width="10.1640625" bestFit="1" customWidth="1"/>
    <col min="10" max="10" width="3.1640625" bestFit="1" customWidth="1"/>
    <col min="11" max="12" width="10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795</v>
      </c>
      <c r="B2" t="s">
        <v>1505</v>
      </c>
      <c r="C2" s="29" t="s">
        <v>41</v>
      </c>
      <c r="D2" t="s">
        <v>42</v>
      </c>
      <c r="E2" t="s">
        <v>1454</v>
      </c>
      <c r="F2" t="s">
        <v>1455</v>
      </c>
      <c r="G2" t="s">
        <v>863</v>
      </c>
      <c r="H2" s="14" t="s">
        <v>43</v>
      </c>
      <c r="I2" s="23">
        <v>43440</v>
      </c>
      <c r="J2" s="27">
        <v>24</v>
      </c>
      <c r="K2" s="4">
        <v>39605</v>
      </c>
      <c r="L2" s="4">
        <v>41821</v>
      </c>
      <c r="M2" s="27">
        <v>12</v>
      </c>
    </row>
    <row r="3" spans="1:16">
      <c r="A3" t="s">
        <v>795</v>
      </c>
      <c r="B3" t="s">
        <v>1505</v>
      </c>
      <c r="C3" s="29" t="s">
        <v>273</v>
      </c>
      <c r="D3" t="s">
        <v>274</v>
      </c>
      <c r="E3" t="s">
        <v>1456</v>
      </c>
      <c r="F3" t="s">
        <v>1457</v>
      </c>
      <c r="G3" t="s">
        <v>863</v>
      </c>
      <c r="H3" s="14" t="s">
        <v>248</v>
      </c>
      <c r="I3" s="23">
        <v>43313</v>
      </c>
      <c r="J3" s="27">
        <v>24</v>
      </c>
      <c r="K3" s="4">
        <v>39873</v>
      </c>
      <c r="L3" s="4">
        <v>43677</v>
      </c>
      <c r="M3" s="27">
        <v>24</v>
      </c>
    </row>
    <row r="4" spans="1:16">
      <c r="A4" t="s">
        <v>795</v>
      </c>
      <c r="B4" t="s">
        <v>1505</v>
      </c>
      <c r="C4" s="29" t="s">
        <v>275</v>
      </c>
      <c r="D4" t="s">
        <v>276</v>
      </c>
      <c r="E4" t="s">
        <v>1458</v>
      </c>
      <c r="F4" t="s">
        <v>1459</v>
      </c>
      <c r="G4" t="s">
        <v>863</v>
      </c>
      <c r="H4" s="14" t="s">
        <v>85</v>
      </c>
      <c r="I4" s="23">
        <v>43311</v>
      </c>
      <c r="J4" s="27">
        <v>24</v>
      </c>
      <c r="K4" s="4">
        <v>40087</v>
      </c>
      <c r="L4" s="4">
        <v>43281</v>
      </c>
      <c r="M4" s="27">
        <v>24</v>
      </c>
    </row>
    <row r="5" spans="1:16">
      <c r="A5" t="s">
        <v>795</v>
      </c>
      <c r="B5" t="s">
        <v>934</v>
      </c>
      <c r="C5" s="29" t="s">
        <v>605</v>
      </c>
      <c r="D5" t="s">
        <v>606</v>
      </c>
      <c r="E5" t="s">
        <v>1460</v>
      </c>
      <c r="F5" t="s">
        <v>1461</v>
      </c>
      <c r="G5" t="s">
        <v>863</v>
      </c>
      <c r="H5" s="14" t="s">
        <v>607</v>
      </c>
      <c r="I5" s="23">
        <v>43429</v>
      </c>
      <c r="J5" s="27">
        <v>24</v>
      </c>
      <c r="K5" s="4">
        <v>42305</v>
      </c>
      <c r="L5" s="4">
        <v>43035</v>
      </c>
      <c r="M5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77"/>
  <dimension ref="A1:P5"/>
  <sheetViews>
    <sheetView workbookViewId="0"/>
  </sheetViews>
  <sheetFormatPr defaultRowHeight="12.75"/>
  <cols>
    <col min="1" max="1" width="25" bestFit="1" customWidth="1"/>
    <col min="2" max="2" width="12.33203125" bestFit="1" customWidth="1"/>
    <col min="3" max="3" width="15.6640625" bestFit="1" customWidth="1"/>
    <col min="4" max="4" width="43" bestFit="1" customWidth="1"/>
    <col min="5" max="5" width="9.1640625" bestFit="1" customWidth="1"/>
    <col min="6" max="6" width="26.6640625" bestFit="1" customWidth="1"/>
    <col min="7" max="7" width="14" bestFit="1" customWidth="1"/>
    <col min="8" max="9" width="10.1640625" bestFit="1" customWidth="1"/>
    <col min="10" max="10" width="3.1640625" bestFit="1" customWidth="1"/>
    <col min="11" max="11" width="8.1640625" bestFit="1" customWidth="1"/>
    <col min="12" max="12" width="9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781</v>
      </c>
      <c r="B2" t="s">
        <v>1505</v>
      </c>
      <c r="C2" s="29" t="s">
        <v>204</v>
      </c>
      <c r="D2" t="s">
        <v>205</v>
      </c>
      <c r="E2" t="s">
        <v>1462</v>
      </c>
      <c r="F2" t="s">
        <v>1463</v>
      </c>
      <c r="G2" t="s">
        <v>849</v>
      </c>
      <c r="H2" s="14" t="s">
        <v>206</v>
      </c>
      <c r="I2" s="23">
        <v>43524</v>
      </c>
      <c r="J2" s="27">
        <v>24</v>
      </c>
      <c r="K2" s="4">
        <v>42795</v>
      </c>
      <c r="L2" s="4">
        <v>43524</v>
      </c>
      <c r="M2" s="27">
        <v>24</v>
      </c>
    </row>
    <row r="3" spans="1:16">
      <c r="A3" t="s">
        <v>781</v>
      </c>
      <c r="B3" t="s">
        <v>1505</v>
      </c>
      <c r="C3" s="29" t="s">
        <v>207</v>
      </c>
      <c r="D3" t="s">
        <v>208</v>
      </c>
      <c r="E3" t="s">
        <v>1464</v>
      </c>
      <c r="F3" t="s">
        <v>1465</v>
      </c>
      <c r="G3" t="s">
        <v>849</v>
      </c>
      <c r="H3" s="14" t="s">
        <v>209</v>
      </c>
      <c r="I3" s="23">
        <v>43698</v>
      </c>
      <c r="J3" s="27">
        <v>36</v>
      </c>
      <c r="K3" s="4">
        <v>42614</v>
      </c>
      <c r="L3" s="4">
        <v>43698</v>
      </c>
      <c r="M3" s="27">
        <v>36</v>
      </c>
    </row>
    <row r="4" spans="1:16">
      <c r="A4" t="s">
        <v>781</v>
      </c>
      <c r="B4" t="s">
        <v>934</v>
      </c>
      <c r="C4" s="29" t="s">
        <v>555</v>
      </c>
      <c r="D4" t="s">
        <v>556</v>
      </c>
      <c r="E4" t="s">
        <v>1466</v>
      </c>
      <c r="F4" t="s">
        <v>1467</v>
      </c>
      <c r="G4" t="s">
        <v>849</v>
      </c>
      <c r="H4" s="14" t="s">
        <v>462</v>
      </c>
      <c r="I4" s="23">
        <v>43100</v>
      </c>
      <c r="J4" s="27">
        <v>24</v>
      </c>
      <c r="K4" s="4">
        <v>42401</v>
      </c>
      <c r="L4" s="4">
        <v>43131</v>
      </c>
      <c r="M4" s="27">
        <v>24</v>
      </c>
    </row>
    <row r="5" spans="1:16">
      <c r="A5" t="s">
        <v>781</v>
      </c>
      <c r="B5" t="s">
        <v>934</v>
      </c>
      <c r="C5" s="29" t="s">
        <v>557</v>
      </c>
      <c r="D5" t="s">
        <v>558</v>
      </c>
      <c r="E5" t="s">
        <v>1468</v>
      </c>
      <c r="F5" t="s">
        <v>1469</v>
      </c>
      <c r="G5" t="s">
        <v>849</v>
      </c>
      <c r="H5" s="14" t="s">
        <v>266</v>
      </c>
      <c r="I5" s="23">
        <v>43251</v>
      </c>
      <c r="J5" s="27">
        <v>24</v>
      </c>
      <c r="K5" s="4">
        <v>42461</v>
      </c>
      <c r="L5" s="4">
        <v>43190</v>
      </c>
      <c r="M5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78"/>
  <dimension ref="A1:P5"/>
  <sheetViews>
    <sheetView workbookViewId="0"/>
  </sheetViews>
  <sheetFormatPr defaultRowHeight="12.75"/>
  <cols>
    <col min="1" max="1" width="25.33203125" bestFit="1" customWidth="1"/>
    <col min="2" max="2" width="12.33203125" bestFit="1" customWidth="1"/>
    <col min="3" max="3" width="15.6640625" bestFit="1" customWidth="1"/>
    <col min="4" max="4" width="54.5" bestFit="1" customWidth="1"/>
    <col min="5" max="5" width="9.1640625" bestFit="1" customWidth="1"/>
    <col min="6" max="6" width="29" bestFit="1" customWidth="1"/>
    <col min="7" max="7" width="14" bestFit="1" customWidth="1"/>
    <col min="8" max="8" width="10.1640625" bestFit="1" customWidth="1"/>
    <col min="9" max="9" width="9.1640625" bestFit="1" customWidth="1"/>
    <col min="10" max="10" width="3.1640625" bestFit="1" customWidth="1"/>
    <col min="11" max="12" width="9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809</v>
      </c>
      <c r="B2" t="s">
        <v>1505</v>
      </c>
      <c r="C2" s="29" t="s">
        <v>336</v>
      </c>
      <c r="D2" t="s">
        <v>337</v>
      </c>
      <c r="E2" t="s">
        <v>1470</v>
      </c>
      <c r="F2" t="s">
        <v>1471</v>
      </c>
      <c r="G2" t="s">
        <v>877</v>
      </c>
      <c r="H2" s="14" t="s">
        <v>338</v>
      </c>
      <c r="I2" s="23">
        <v>43661</v>
      </c>
      <c r="J2" s="27">
        <v>24</v>
      </c>
      <c r="K2" s="4">
        <v>42932</v>
      </c>
      <c r="L2" s="4">
        <v>43708</v>
      </c>
      <c r="M2" s="27">
        <v>24</v>
      </c>
    </row>
    <row r="3" spans="1:16">
      <c r="A3" t="s">
        <v>809</v>
      </c>
      <c r="B3" t="s">
        <v>1505</v>
      </c>
      <c r="C3" s="29" t="s">
        <v>339</v>
      </c>
      <c r="D3" t="s">
        <v>340</v>
      </c>
      <c r="E3" t="s">
        <v>1472</v>
      </c>
      <c r="F3" t="s">
        <v>1473</v>
      </c>
      <c r="G3" t="s">
        <v>877</v>
      </c>
      <c r="H3" s="14" t="s">
        <v>341</v>
      </c>
      <c r="I3" s="23">
        <v>43709</v>
      </c>
      <c r="J3" s="27">
        <v>24</v>
      </c>
      <c r="K3" s="4">
        <v>42948</v>
      </c>
      <c r="L3" s="4">
        <v>43709</v>
      </c>
      <c r="M3" s="27">
        <v>24</v>
      </c>
    </row>
    <row r="4" spans="1:16">
      <c r="A4" t="s">
        <v>809</v>
      </c>
      <c r="B4" t="s">
        <v>934</v>
      </c>
      <c r="C4" s="29" t="s">
        <v>657</v>
      </c>
      <c r="D4" t="s">
        <v>658</v>
      </c>
      <c r="E4" t="s">
        <v>1474</v>
      </c>
      <c r="F4" t="s">
        <v>1475</v>
      </c>
      <c r="G4" t="s">
        <v>877</v>
      </c>
      <c r="H4" s="14" t="s">
        <v>287</v>
      </c>
      <c r="I4" s="23">
        <v>43616</v>
      </c>
      <c r="J4" s="27">
        <v>24</v>
      </c>
      <c r="K4" s="4">
        <v>42917</v>
      </c>
      <c r="L4" s="4">
        <v>43616</v>
      </c>
      <c r="M4" s="27">
        <v>24</v>
      </c>
    </row>
    <row r="5" spans="1:16">
      <c r="A5" t="s">
        <v>809</v>
      </c>
      <c r="B5" t="s">
        <v>934</v>
      </c>
      <c r="C5" s="29" t="s">
        <v>659</v>
      </c>
      <c r="D5" t="s">
        <v>660</v>
      </c>
      <c r="E5" t="s">
        <v>1476</v>
      </c>
      <c r="F5" t="s">
        <v>1477</v>
      </c>
      <c r="G5" t="s">
        <v>877</v>
      </c>
      <c r="H5" s="14" t="s">
        <v>521</v>
      </c>
      <c r="I5" s="23">
        <v>43646</v>
      </c>
      <c r="J5" s="27">
        <v>24</v>
      </c>
      <c r="K5" s="4">
        <v>42948</v>
      </c>
      <c r="L5" s="4">
        <v>43646</v>
      </c>
      <c r="M5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79"/>
  <dimension ref="A1:P9"/>
  <sheetViews>
    <sheetView workbookViewId="0"/>
  </sheetViews>
  <sheetFormatPr defaultRowHeight="12.75"/>
  <cols>
    <col min="1" max="1" width="29.33203125" bestFit="1" customWidth="1"/>
    <col min="2" max="2" width="12.33203125" bestFit="1" customWidth="1"/>
    <col min="3" max="3" width="15.6640625" bestFit="1" customWidth="1"/>
    <col min="4" max="4" width="51" bestFit="1" customWidth="1"/>
    <col min="5" max="5" width="9.1640625" bestFit="1" customWidth="1"/>
    <col min="6" max="6" width="34.6640625" bestFit="1" customWidth="1"/>
    <col min="7" max="7" width="18.6640625" bestFit="1" customWidth="1"/>
    <col min="8" max="9" width="10.1640625" bestFit="1" customWidth="1"/>
    <col min="10" max="10" width="3.1640625" bestFit="1" customWidth="1"/>
    <col min="11" max="11" width="9.1640625" bestFit="1" customWidth="1"/>
    <col min="12" max="12" width="10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825</v>
      </c>
      <c r="B2" t="s">
        <v>1505</v>
      </c>
      <c r="C2" s="29" t="s">
        <v>98</v>
      </c>
      <c r="D2" t="s">
        <v>99</v>
      </c>
      <c r="E2" t="s">
        <v>1478</v>
      </c>
      <c r="F2" t="s">
        <v>1479</v>
      </c>
      <c r="G2" t="s">
        <v>893</v>
      </c>
      <c r="H2" s="14" t="s">
        <v>100</v>
      </c>
      <c r="I2" s="14">
        <v>43100</v>
      </c>
      <c r="J2" s="27">
        <v>24</v>
      </c>
      <c r="K2" s="4">
        <v>40148</v>
      </c>
      <c r="L2" s="4">
        <v>43100</v>
      </c>
      <c r="M2" s="27">
        <v>12</v>
      </c>
    </row>
    <row r="3" spans="1:16">
      <c r="A3" t="s">
        <v>825</v>
      </c>
      <c r="B3" t="s">
        <v>1505</v>
      </c>
      <c r="C3" s="29" t="s">
        <v>439</v>
      </c>
      <c r="D3" t="s">
        <v>440</v>
      </c>
      <c r="E3" t="s">
        <v>1480</v>
      </c>
      <c r="F3" t="s">
        <v>1481</v>
      </c>
      <c r="G3" t="s">
        <v>893</v>
      </c>
      <c r="H3" s="14" t="s">
        <v>441</v>
      </c>
      <c r="I3" s="14">
        <v>43528</v>
      </c>
      <c r="J3" s="27">
        <v>24</v>
      </c>
      <c r="K3" s="4">
        <v>42614</v>
      </c>
      <c r="L3" s="4">
        <v>43343</v>
      </c>
      <c r="M3" s="27">
        <v>24</v>
      </c>
    </row>
    <row r="4" spans="1:16">
      <c r="A4" t="s">
        <v>825</v>
      </c>
      <c r="B4" t="s">
        <v>1505</v>
      </c>
      <c r="C4" s="29" t="s">
        <v>101</v>
      </c>
      <c r="D4" t="s">
        <v>102</v>
      </c>
      <c r="E4" t="s">
        <v>1482</v>
      </c>
      <c r="F4" t="s">
        <v>1483</v>
      </c>
      <c r="G4" t="s">
        <v>893</v>
      </c>
      <c r="H4" s="14" t="s">
        <v>103</v>
      </c>
      <c r="I4" s="14">
        <v>43131</v>
      </c>
      <c r="J4" s="27">
        <v>36</v>
      </c>
      <c r="K4" s="4">
        <v>40848</v>
      </c>
      <c r="L4" s="4">
        <v>43131</v>
      </c>
      <c r="M4" s="27">
        <v>24</v>
      </c>
    </row>
    <row r="5" spans="1:16">
      <c r="A5" t="s">
        <v>825</v>
      </c>
      <c r="B5" t="s">
        <v>1505</v>
      </c>
      <c r="C5" s="29" t="s">
        <v>442</v>
      </c>
      <c r="D5" t="s">
        <v>443</v>
      </c>
      <c r="E5" t="s">
        <v>1484</v>
      </c>
      <c r="F5" t="s">
        <v>1485</v>
      </c>
      <c r="G5" t="s">
        <v>893</v>
      </c>
      <c r="H5" s="14" t="s">
        <v>444</v>
      </c>
      <c r="I5" s="14">
        <v>43159</v>
      </c>
      <c r="J5" s="27">
        <v>24</v>
      </c>
      <c r="K5" s="4">
        <v>40969</v>
      </c>
      <c r="L5" s="4">
        <v>43708</v>
      </c>
      <c r="M5" s="27">
        <v>24</v>
      </c>
    </row>
    <row r="6" spans="1:16">
      <c r="A6" t="s">
        <v>825</v>
      </c>
      <c r="B6" t="s">
        <v>1505</v>
      </c>
      <c r="C6" s="29" t="s">
        <v>445</v>
      </c>
      <c r="D6" t="s">
        <v>446</v>
      </c>
      <c r="E6" t="s">
        <v>1486</v>
      </c>
      <c r="F6" t="s">
        <v>1487</v>
      </c>
      <c r="G6" t="s">
        <v>893</v>
      </c>
      <c r="H6" s="14" t="s">
        <v>16</v>
      </c>
      <c r="I6" s="14">
        <v>43496</v>
      </c>
      <c r="J6" s="27">
        <v>24</v>
      </c>
      <c r="K6" s="4">
        <v>41275</v>
      </c>
      <c r="L6" s="4">
        <v>43465</v>
      </c>
      <c r="M6" s="27">
        <v>24</v>
      </c>
    </row>
    <row r="7" spans="1:16">
      <c r="A7" t="s">
        <v>825</v>
      </c>
      <c r="B7" t="s">
        <v>934</v>
      </c>
      <c r="C7" s="29" t="s">
        <v>502</v>
      </c>
      <c r="D7" t="s">
        <v>503</v>
      </c>
      <c r="E7" t="s">
        <v>1488</v>
      </c>
      <c r="F7" t="s">
        <v>1489</v>
      </c>
      <c r="G7" t="s">
        <v>893</v>
      </c>
      <c r="H7" s="14" t="s">
        <v>504</v>
      </c>
      <c r="I7" s="23">
        <v>43288</v>
      </c>
      <c r="J7" s="27">
        <v>24</v>
      </c>
      <c r="K7" s="4">
        <v>41760</v>
      </c>
      <c r="L7" s="4">
        <v>43220</v>
      </c>
      <c r="M7" s="27">
        <v>12</v>
      </c>
    </row>
    <row r="8" spans="1:16">
      <c r="A8" t="s">
        <v>825</v>
      </c>
      <c r="B8" t="s">
        <v>934</v>
      </c>
      <c r="C8" s="29" t="s">
        <v>730</v>
      </c>
      <c r="D8" t="s">
        <v>731</v>
      </c>
      <c r="E8" t="s">
        <v>1490</v>
      </c>
      <c r="F8" t="s">
        <v>1491</v>
      </c>
      <c r="G8" t="s">
        <v>893</v>
      </c>
      <c r="H8" s="14" t="s">
        <v>732</v>
      </c>
      <c r="I8" s="23">
        <v>43119</v>
      </c>
      <c r="J8" s="27">
        <v>24</v>
      </c>
      <c r="K8" s="4">
        <v>41671</v>
      </c>
      <c r="L8" s="4">
        <v>42754</v>
      </c>
      <c r="M8" s="27">
        <v>24</v>
      </c>
    </row>
    <row r="9" spans="1:16">
      <c r="A9" t="s">
        <v>825</v>
      </c>
      <c r="B9" t="s">
        <v>934</v>
      </c>
      <c r="C9" s="29" t="s">
        <v>733</v>
      </c>
      <c r="D9" t="s">
        <v>734</v>
      </c>
      <c r="E9" t="s">
        <v>1492</v>
      </c>
      <c r="F9" t="s">
        <v>1493</v>
      </c>
      <c r="G9" t="s">
        <v>893</v>
      </c>
      <c r="H9" s="14" t="s">
        <v>735</v>
      </c>
      <c r="I9" s="23">
        <v>43532</v>
      </c>
      <c r="J9" s="27">
        <v>24</v>
      </c>
      <c r="K9" s="4">
        <v>42826</v>
      </c>
      <c r="L9" s="4">
        <v>43532</v>
      </c>
      <c r="M9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80"/>
  <dimension ref="A1:P5"/>
  <sheetViews>
    <sheetView workbookViewId="0"/>
  </sheetViews>
  <sheetFormatPr defaultRowHeight="12.75"/>
  <cols>
    <col min="1" max="1" width="21.83203125" bestFit="1" customWidth="1"/>
    <col min="2" max="2" width="12.33203125" bestFit="1" customWidth="1"/>
    <col min="3" max="3" width="15.6640625" bestFit="1" customWidth="1"/>
    <col min="4" max="4" width="59.83203125" bestFit="1" customWidth="1"/>
    <col min="5" max="5" width="9.1640625" bestFit="1" customWidth="1"/>
    <col min="6" max="6" width="52.5" bestFit="1" customWidth="1"/>
    <col min="7" max="7" width="10.33203125" bestFit="1" customWidth="1"/>
    <col min="8" max="9" width="10.1640625" bestFit="1" customWidth="1"/>
    <col min="10" max="10" width="3.1640625" bestFit="1" customWidth="1"/>
    <col min="11" max="12" width="10.1640625" bestFit="1" customWidth="1"/>
    <col min="13" max="13" width="3.1640625" bestFit="1" customWidth="1"/>
  </cols>
  <sheetData>
    <row r="1" spans="1:16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>
      <c r="A2" t="s">
        <v>798</v>
      </c>
      <c r="B2" t="s">
        <v>1505</v>
      </c>
      <c r="C2" s="29" t="s">
        <v>47</v>
      </c>
      <c r="D2" t="s">
        <v>48</v>
      </c>
      <c r="E2" t="s">
        <v>1494</v>
      </c>
      <c r="F2" t="s">
        <v>1495</v>
      </c>
      <c r="G2" t="s">
        <v>866</v>
      </c>
      <c r="H2" s="14" t="s">
        <v>49</v>
      </c>
      <c r="I2" s="14">
        <v>43836</v>
      </c>
      <c r="J2" s="27">
        <v>24</v>
      </c>
      <c r="K2" s="4">
        <v>42720</v>
      </c>
      <c r="L2" s="4">
        <v>43815</v>
      </c>
      <c r="M2" s="27">
        <v>36</v>
      </c>
    </row>
    <row r="3" spans="1:16" ht="13.5" thickBot="1">
      <c r="A3" t="s">
        <v>798</v>
      </c>
      <c r="B3" t="s">
        <v>1505</v>
      </c>
      <c r="C3" s="29" t="s">
        <v>50</v>
      </c>
      <c r="D3" t="s">
        <v>51</v>
      </c>
      <c r="E3" t="s">
        <v>1496</v>
      </c>
      <c r="F3" t="s">
        <v>1497</v>
      </c>
      <c r="G3" t="s">
        <v>866</v>
      </c>
      <c r="H3" s="14" t="s">
        <v>52</v>
      </c>
      <c r="I3" s="14">
        <v>43434</v>
      </c>
      <c r="J3" s="27">
        <v>24</v>
      </c>
      <c r="K3" s="4">
        <v>42339</v>
      </c>
      <c r="L3" s="4">
        <v>43435</v>
      </c>
      <c r="M3" s="27">
        <v>36</v>
      </c>
    </row>
    <row r="4" spans="1:16" ht="13.5" thickBot="1">
      <c r="A4" t="s">
        <v>798</v>
      </c>
      <c r="B4" t="s">
        <v>934</v>
      </c>
      <c r="C4" s="29" t="s">
        <v>618</v>
      </c>
      <c r="D4" t="s">
        <v>619</v>
      </c>
      <c r="E4" t="s">
        <v>1498</v>
      </c>
      <c r="F4" t="s">
        <v>1499</v>
      </c>
      <c r="G4" t="s">
        <v>866</v>
      </c>
      <c r="H4" s="14" t="s">
        <v>260</v>
      </c>
      <c r="I4" s="14">
        <v>43131</v>
      </c>
      <c r="J4" s="27">
        <v>24</v>
      </c>
      <c r="K4" s="7">
        <v>42348</v>
      </c>
      <c r="L4" s="6">
        <v>43131</v>
      </c>
      <c r="M4" s="27">
        <v>24</v>
      </c>
    </row>
    <row r="5" spans="1:16" ht="13.5" thickBot="1">
      <c r="A5" t="s">
        <v>798</v>
      </c>
      <c r="B5" t="s">
        <v>934</v>
      </c>
      <c r="C5" s="31" t="s">
        <v>620</v>
      </c>
      <c r="D5" s="12" t="s">
        <v>621</v>
      </c>
      <c r="E5" t="s">
        <v>1500</v>
      </c>
      <c r="F5" t="s">
        <v>1501</v>
      </c>
      <c r="G5" t="s">
        <v>866</v>
      </c>
      <c r="H5" s="14" t="s">
        <v>266</v>
      </c>
      <c r="I5" s="14">
        <v>43251</v>
      </c>
      <c r="J5" s="27">
        <v>24</v>
      </c>
      <c r="K5" s="4">
        <v>42593</v>
      </c>
      <c r="L5" s="4">
        <v>43323</v>
      </c>
      <c r="M5" s="27">
        <v>24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81"/>
  <dimension ref="A1:P2"/>
  <sheetViews>
    <sheetView tabSelected="1" topLeftCell="ED1" workbookViewId="0"/>
  </sheetViews>
  <sheetFormatPr defaultRowHeight="12.75"/>
  <cols>
    <col min="1" max="1" width="25.5" bestFit="1" customWidth="1"/>
    <col min="2" max="2" width="12.33203125" bestFit="1" customWidth="1"/>
    <col min="3" max="3" width="14.6640625" bestFit="1" customWidth="1"/>
    <col min="4" max="4" width="56" bestFit="1" customWidth="1"/>
    <col min="5" max="5" width="9.1640625" bestFit="1" customWidth="1"/>
    <col min="6" max="6" width="40.5" bestFit="1" customWidth="1"/>
    <col min="7" max="7" width="15" bestFit="1" customWidth="1"/>
    <col min="8" max="9" width="10.1640625" bestFit="1" customWidth="1"/>
    <col min="10" max="10" width="3.1640625" bestFit="1" customWidth="1"/>
    <col min="11" max="11" width="9.1640625" bestFit="1" customWidth="1"/>
    <col min="12" max="12" width="10.1640625" bestFit="1" customWidth="1"/>
    <col min="13" max="13" width="7.83203125" bestFit="1" customWidth="1"/>
  </cols>
  <sheetData>
    <row r="1" spans="1:16" ht="13.5" thickBot="1">
      <c r="C1" s="29"/>
      <c r="H1" s="34" t="s">
        <v>922</v>
      </c>
      <c r="I1" s="34"/>
      <c r="J1" s="34"/>
      <c r="K1" s="33" t="s">
        <v>923</v>
      </c>
      <c r="L1" s="33"/>
      <c r="M1" s="33"/>
      <c r="N1" s="35" t="s">
        <v>1506</v>
      </c>
      <c r="O1" s="35"/>
      <c r="P1" s="35"/>
    </row>
    <row r="2" spans="1:16" ht="13.5" thickBot="1">
      <c r="A2" t="s">
        <v>820</v>
      </c>
      <c r="B2" t="s">
        <v>1505</v>
      </c>
      <c r="C2" s="31" t="s">
        <v>410</v>
      </c>
      <c r="D2" s="12" t="s">
        <v>411</v>
      </c>
      <c r="E2" t="s">
        <v>1502</v>
      </c>
      <c r="F2" t="s">
        <v>1503</v>
      </c>
      <c r="G2" t="s">
        <v>888</v>
      </c>
      <c r="H2" s="14" t="s">
        <v>412</v>
      </c>
      <c r="I2" s="14">
        <v>43792</v>
      </c>
      <c r="J2" s="27">
        <v>24</v>
      </c>
      <c r="K2" s="13">
        <v>40079</v>
      </c>
      <c r="L2" s="4">
        <v>43792</v>
      </c>
      <c r="M2" s="27" t="s">
        <v>413</v>
      </c>
    </row>
  </sheetData>
  <mergeCells count="3">
    <mergeCell ref="H1:J1"/>
    <mergeCell ref="K1:M1"/>
    <mergeCell ref="N1:P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Hárky</vt:lpstr>
      </vt:variant>
      <vt:variant>
        <vt:i4>82</vt:i4>
      </vt:variant>
    </vt:vector>
  </HeadingPairs>
  <TitlesOfParts>
    <vt:vector size="82" baseType="lpstr">
      <vt:lpstr>DATA</vt:lpstr>
      <vt:lpstr>PIVOT</vt:lpstr>
      <vt:lpstr>ZOZNAM PSP</vt:lpstr>
      <vt:lpstr>EMPLOYEE_NAME</vt:lpstr>
      <vt:lpstr>EMAIL</vt:lpstr>
      <vt:lpstr>gergely.agocs@telekom.sk</vt:lpstr>
      <vt:lpstr>vaclav.bajgart@telekom.sk</vt:lpstr>
      <vt:lpstr>boris.balog@telekom.sk</vt:lpstr>
      <vt:lpstr>tomas.banes@telekom.sk</vt:lpstr>
      <vt:lpstr>martin.bartko@telekom.sk</vt:lpstr>
      <vt:lpstr>martin.beres@telekom.sk</vt:lpstr>
      <vt:lpstr>michal.bratko@telekom.sk</vt:lpstr>
      <vt:lpstr>branislav.burdej@telekom.sk</vt:lpstr>
      <vt:lpstr>peter1.cernak@telekom.sk</vt:lpstr>
      <vt:lpstr>martin.cervenan@telekom.sk</vt:lpstr>
      <vt:lpstr>alena.dianova@telekom.sk</vt:lpstr>
      <vt:lpstr>patrik.dobry@telekom.sk</vt:lpstr>
      <vt:lpstr>jan.domin@telekom.sk</vt:lpstr>
      <vt:lpstr>dominika.dubenova@telekom.sk</vt:lpstr>
      <vt:lpstr>martin.duda@telekom.sk</vt:lpstr>
      <vt:lpstr>emil.galanek@telekom.sk</vt:lpstr>
      <vt:lpstr>vladimir.galik@telekom.sk</vt:lpstr>
      <vt:lpstr>branislav.gec@telekom.sk</vt:lpstr>
      <vt:lpstr>michal.halada@telekom.sk</vt:lpstr>
      <vt:lpstr>marek.halaj@telekom.sk</vt:lpstr>
      <vt:lpstr>jana.havelkova@telekom.sk</vt:lpstr>
      <vt:lpstr>jaroslav.horvath@telekom.sk</vt:lpstr>
      <vt:lpstr>radoslav.horvath@telekom.sk</vt:lpstr>
      <vt:lpstr>ivana.hrebikova@telekom.sk</vt:lpstr>
      <vt:lpstr>zuzana.hudecova@telekom.sk</vt:lpstr>
      <vt:lpstr>robert.jahn@telekom.sk</vt:lpstr>
      <vt:lpstr>alica.kadurova@telekom.sk</vt:lpstr>
      <vt:lpstr>stanislava.kalakaj@telekom.sk</vt:lpstr>
      <vt:lpstr>Hárok30</vt:lpstr>
      <vt:lpstr>marian.kiko@telekom.sk</vt:lpstr>
      <vt:lpstr>roman.kling@telekom.sk</vt:lpstr>
      <vt:lpstr>vladimir.kohut@telekom.sk</vt:lpstr>
      <vt:lpstr>milos.kostal@telekom.sk</vt:lpstr>
      <vt:lpstr>iveta.krejciova@telekom.sk</vt:lpstr>
      <vt:lpstr>miroslava.krchnava@telekom.sk</vt:lpstr>
      <vt:lpstr>roman.krncan@telekom.sk</vt:lpstr>
      <vt:lpstr>eva.kubinova@telekom.sk</vt:lpstr>
      <vt:lpstr>stefan.kunak@telekom.sk</vt:lpstr>
      <vt:lpstr>lubomir.kupka@telekom.sk</vt:lpstr>
      <vt:lpstr>jozef.lenko@telekom.sk</vt:lpstr>
      <vt:lpstr>jozef.lobb@telekom.sk</vt:lpstr>
      <vt:lpstr>roman.lukacovic@telekom.sk</vt:lpstr>
      <vt:lpstr>martin.marcisovsky@telekom.sk</vt:lpstr>
      <vt:lpstr>lenka.mareckova@telekom.sk</vt:lpstr>
      <vt:lpstr>branislav.michalik@telekom.sk</vt:lpstr>
      <vt:lpstr>miroslav.miklas@telekom.sk</vt:lpstr>
      <vt:lpstr>simon.miklas@telekom.sk</vt:lpstr>
      <vt:lpstr>tomas.nemoga@telekom.sk</vt:lpstr>
      <vt:lpstr>lubomir.olejnik@telekom.sk</vt:lpstr>
      <vt:lpstr>stefan.opremcak@telekom.sk</vt:lpstr>
      <vt:lpstr>lubos.palenik@telekom.sk</vt:lpstr>
      <vt:lpstr>radovan.peller@telekom.sk</vt:lpstr>
      <vt:lpstr>michal.petricek@telekom.sk</vt:lpstr>
      <vt:lpstr>peter.polovka@telekom.sk</vt:lpstr>
      <vt:lpstr>milos.potocky@telekom.sk</vt:lpstr>
      <vt:lpstr>pavol.prager@telekom.sk</vt:lpstr>
      <vt:lpstr>renata.rabekova@telekom.sk</vt:lpstr>
      <vt:lpstr>barbora.rohonova@telekom.sk</vt:lpstr>
      <vt:lpstr>michal.schellberger@telekom.sk</vt:lpstr>
      <vt:lpstr>ondrej.schvarcz@telekom.sk</vt:lpstr>
      <vt:lpstr>peter.solar@telekom.sk</vt:lpstr>
      <vt:lpstr>tibor.saly@telekom.sk</vt:lpstr>
      <vt:lpstr>miroslav.scepka@telekom.sk</vt:lpstr>
      <vt:lpstr>anna.simkova@telekom.sk</vt:lpstr>
      <vt:lpstr>lubomir.simoncic@telekom.sk</vt:lpstr>
      <vt:lpstr>monika.simonova@telekom.sk</vt:lpstr>
      <vt:lpstr>erika.skrovinova@telekom.sk</vt:lpstr>
      <vt:lpstr>jan.stroffek@telekom.sk</vt:lpstr>
      <vt:lpstr>stanislav.subert@telekom.sk</vt:lpstr>
      <vt:lpstr>gabriel.vanek@telekom.sk</vt:lpstr>
      <vt:lpstr>maria.vavrikova@telekom.sk</vt:lpstr>
      <vt:lpstr>ludek.vrtik@telekom.sk</vt:lpstr>
      <vt:lpstr>ingrid.zaborska@telekom.sk</vt:lpstr>
      <vt:lpstr>michal.zahoran@telekom.sk</vt:lpstr>
      <vt:lpstr>slavomir.zakarovsky@telekom.sk</vt:lpstr>
      <vt:lpstr>marek.zani@telekom.sk</vt:lpstr>
      <vt:lpstr>rastislav.zverbik@telekom.sk</vt:lpstr>
    </vt:vector>
  </TitlesOfParts>
  <Company>Slovak Telekom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ladislav.lengyel</dc:creator>
  <cp:lastModifiedBy>Molcanyova Katarina</cp:lastModifiedBy>
  <dcterms:created xsi:type="dcterms:W3CDTF">2017-12-05T12:43:19Z</dcterms:created>
  <dcterms:modified xsi:type="dcterms:W3CDTF">2017-12-07T11:30:25Z</dcterms:modified>
</cp:coreProperties>
</file>